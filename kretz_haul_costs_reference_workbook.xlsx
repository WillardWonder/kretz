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Haul Data" sheetId="2" state="visible" r:id="rId4"/>
    <sheet name="Cost Analysis" sheetId="3" state="visible" r:id="rId5"/>
    <sheet name="Summary" sheetId="4" state="visible" r:id="rId6"/>
    <sheet name="Review Warnings" sheetId="5" state="visible" r:id="rId7"/>
  </sheets>
  <definedNames>
    <definedName function="false" hidden="false" localSheetId="0" name="_xlnm.Print_Titles" vbProcedure="false">Assumptions!$1:$1</definedName>
    <definedName function="false" hidden="false" localSheetId="2" name="_xlnm.Print_Titles" vbProcedure="false">'Cost Analysis'!$1:$2</definedName>
    <definedName function="false" hidden="false" localSheetId="1" name="_xlnm.Print_Titles" vbProcedure="false">'Haul Data'!$1:$2</definedName>
    <definedName function="false" hidden="false" localSheetId="4" name="_xlnm.Print_Titles" vbProcedure="false">'Review Warnings'!$1:$1</definedName>
    <definedName function="false" hidden="false" localSheetId="3" name="_xlnm.Print_Titles" vbProcedure="false">Summary!$1:$1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<sst xmlns="http://schemas.openxmlformats.org/spreadsheetml/2006/main" count="296" uniqueCount="154">
  <si>
    <t xml:space="preserve">Haul Cost Model — Assumptions</t>
  </si>
  <si>
    <t xml:space="preserve">Yellow cells are inputs. Everything else on other sheets is a formula.</t>
  </si>
  <si>
    <t xml:space="preserve">Assumption</t>
  </si>
  <si>
    <t xml:space="preserve">Value</t>
  </si>
  <si>
    <t xml:space="preserve">Unit</t>
  </si>
  <si>
    <t xml:space="preserve">Source / note</t>
  </si>
  <si>
    <t xml:space="preserve">Round trip factor</t>
  </si>
  <si>
    <t xml:space="preserve">x one-way</t>
  </si>
  <si>
    <t xml:space="preserve">Loaded out, empty back. Change if backhauls are booked.</t>
  </si>
  <si>
    <t xml:space="preserve">Equipment cost per mile</t>
  </si>
  <si>
    <t xml:space="preserve">$/mile</t>
  </si>
  <si>
    <t xml:space="preserve">PLACEHOLDER — replace with the real figure from Kretz.</t>
  </si>
  <si>
    <t xml:space="preserve">Overhead per load</t>
  </si>
  <si>
    <t xml:space="preserve">$/load</t>
  </si>
  <si>
    <t xml:space="preserve">Driving-hours screening threshold</t>
  </si>
  <si>
    <t xml:space="preserve">hours</t>
  </si>
  <si>
    <t xml:space="preserve">Training flag only. Confirm applicable HOS rules, exceptions, and company policy.</t>
  </si>
  <si>
    <t xml:space="preserve">Min plausible miles</t>
  </si>
  <si>
    <t xml:space="preserve">miles</t>
  </si>
  <si>
    <t xml:space="preserve">Below this, a destination-mileage mismatch is likely.</t>
  </si>
  <si>
    <t xml:space="preserve">Two of these are placeholders on purpose.</t>
  </si>
  <si>
    <t xml:space="preserve">A model that hides its guesses is worse than one that labels them. Replace before using for a real decision.</t>
  </si>
  <si>
    <t xml:space="preserve">HOS source: https://www.fmcsa.dot.gov/regulations/hours-service/summary-hours-service-regulations</t>
  </si>
  <si>
    <t xml:space="preserve">Load Id</t>
  </si>
  <si>
    <t xml:space="preserve">Date</t>
  </si>
  <si>
    <t xml:space="preserve">Origin</t>
  </si>
  <si>
    <t xml:space="preserve">Destination</t>
  </si>
  <si>
    <t xml:space="preserve">One Way Miles</t>
  </si>
  <si>
    <t xml:space="preserve">Species</t>
  </si>
  <si>
    <t xml:space="preserve">Grade</t>
  </si>
  <si>
    <t xml:space="preserve">Board Feet</t>
  </si>
  <si>
    <t xml:space="preserve">Truck Id</t>
  </si>
  <si>
    <t xml:space="preserve">Driving Hours</t>
  </si>
  <si>
    <t xml:space="preserve">Fuel Gallons</t>
  </si>
  <si>
    <t xml:space="preserve">Fuel Price Per Gal</t>
  </si>
  <si>
    <t xml:space="preserve">Driver Rate Per Hour</t>
  </si>
  <si>
    <t xml:space="preserve">Tolls And Permits</t>
  </si>
  <si>
    <t xml:space="preserve">HL-1001</t>
  </si>
  <si>
    <t xml:space="preserve">2026-06-09</t>
  </si>
  <si>
    <t xml:space="preserve">Antigo Yard</t>
  </si>
  <si>
    <t xml:space="preserve">Aniwa</t>
  </si>
  <si>
    <t xml:space="preserve">Soft Maple</t>
  </si>
  <si>
    <t xml:space="preserve">2AC</t>
  </si>
  <si>
    <t xml:space="preserve">T-11</t>
  </si>
  <si>
    <t xml:space="preserve">HL-1002</t>
  </si>
  <si>
    <t xml:space="preserve">2026-04-02</t>
  </si>
  <si>
    <t xml:space="preserve">Tomahawk</t>
  </si>
  <si>
    <t xml:space="preserve">White Ash</t>
  </si>
  <si>
    <t xml:space="preserve">Select</t>
  </si>
  <si>
    <t xml:space="preserve">T-12</t>
  </si>
  <si>
    <t xml:space="preserve">HL-1003</t>
  </si>
  <si>
    <t xml:space="preserve">2026-05-12</t>
  </si>
  <si>
    <t xml:space="preserve">Merrill</t>
  </si>
  <si>
    <t xml:space="preserve">Aspen</t>
  </si>
  <si>
    <t xml:space="preserve">1C</t>
  </si>
  <si>
    <t xml:space="preserve">T-14</t>
  </si>
  <si>
    <t xml:space="preserve">HL-1004</t>
  </si>
  <si>
    <t xml:space="preserve">2026-06-03</t>
  </si>
  <si>
    <t xml:space="preserve">Shawano</t>
  </si>
  <si>
    <t xml:space="preserve">Red Oak</t>
  </si>
  <si>
    <t xml:space="preserve">F1F</t>
  </si>
  <si>
    <t xml:space="preserve">HL-1005</t>
  </si>
  <si>
    <t xml:space="preserve">2026-05-27</t>
  </si>
  <si>
    <t xml:space="preserve">Mattoon</t>
  </si>
  <si>
    <t xml:space="preserve">Basswood</t>
  </si>
  <si>
    <t xml:space="preserve">3AC</t>
  </si>
  <si>
    <t xml:space="preserve">T-17</t>
  </si>
  <si>
    <t xml:space="preserve">HL-1006</t>
  </si>
  <si>
    <t xml:space="preserve">2026-06-21</t>
  </si>
  <si>
    <t xml:space="preserve">Elcho</t>
  </si>
  <si>
    <t xml:space="preserve">HL-1007</t>
  </si>
  <si>
    <t xml:space="preserve">2026-06-23</t>
  </si>
  <si>
    <t xml:space="preserve">HL-1008</t>
  </si>
  <si>
    <t xml:space="preserve">2026-05-10</t>
  </si>
  <si>
    <t xml:space="preserve">Wittenberg</t>
  </si>
  <si>
    <t xml:space="preserve">Hard Maple</t>
  </si>
  <si>
    <t xml:space="preserve">HL-1009</t>
  </si>
  <si>
    <t xml:space="preserve">2026-05-23</t>
  </si>
  <si>
    <t xml:space="preserve">Eagle River</t>
  </si>
  <si>
    <t xml:space="preserve">T-21</t>
  </si>
  <si>
    <t xml:space="preserve">HL-1010</t>
  </si>
  <si>
    <t xml:space="preserve">2026-04-01</t>
  </si>
  <si>
    <t xml:space="preserve">Stevens Point</t>
  </si>
  <si>
    <t xml:space="preserve">HL-1011</t>
  </si>
  <si>
    <t xml:space="preserve">2026-05-28</t>
  </si>
  <si>
    <t xml:space="preserve">Wausau</t>
  </si>
  <si>
    <t xml:space="preserve">HL-1012</t>
  </si>
  <si>
    <t xml:space="preserve">2026-06-24</t>
  </si>
  <si>
    <t xml:space="preserve">HL-1013</t>
  </si>
  <si>
    <t xml:space="preserve">FAS</t>
  </si>
  <si>
    <t xml:space="preserve">HL-1014</t>
  </si>
  <si>
    <t xml:space="preserve">2026-04-09</t>
  </si>
  <si>
    <t xml:space="preserve">Crandon</t>
  </si>
  <si>
    <t xml:space="preserve">HL-1015</t>
  </si>
  <si>
    <t xml:space="preserve">HL-1016</t>
  </si>
  <si>
    <t xml:space="preserve">2026-04-24</t>
  </si>
  <si>
    <t xml:space="preserve">HL-1017</t>
  </si>
  <si>
    <t xml:space="preserve">2026-04-15</t>
  </si>
  <si>
    <t xml:space="preserve">HL-1018</t>
  </si>
  <si>
    <t xml:space="preserve">2026-05-18</t>
  </si>
  <si>
    <t xml:space="preserve">HL-1019</t>
  </si>
  <si>
    <t xml:space="preserve">HL-1020</t>
  </si>
  <si>
    <t xml:space="preserve">2026-04-18</t>
  </si>
  <si>
    <t xml:space="preserve">HL-1021</t>
  </si>
  <si>
    <t xml:space="preserve">2026-05-06</t>
  </si>
  <si>
    <t xml:space="preserve">Rhinelander</t>
  </si>
  <si>
    <t xml:space="preserve">HL-1022</t>
  </si>
  <si>
    <t xml:space="preserve">2026-05-01</t>
  </si>
  <si>
    <t xml:space="preserve">Deerbrook</t>
  </si>
  <si>
    <t xml:space="preserve">HL-1023</t>
  </si>
  <si>
    <t xml:space="preserve">HL-1024</t>
  </si>
  <si>
    <t xml:space="preserve">HL-1025</t>
  </si>
  <si>
    <t xml:space="preserve">2026-04-14</t>
  </si>
  <si>
    <t xml:space="preserve">HL-1026</t>
  </si>
  <si>
    <t xml:space="preserve">2026-05-09</t>
  </si>
  <si>
    <t xml:space="preserve">HL-1027</t>
  </si>
  <si>
    <t xml:space="preserve">2026-04-08</t>
  </si>
  <si>
    <t xml:space="preserve">HL-1028</t>
  </si>
  <si>
    <t xml:space="preserve">Yellow Birch</t>
  </si>
  <si>
    <t xml:space="preserve">Load ID</t>
  </si>
  <si>
    <t xml:space="preserve">Round Trip Miles</t>
  </si>
  <si>
    <t xml:space="preserve">MBF</t>
  </si>
  <si>
    <t xml:space="preserve">Fuel Cost</t>
  </si>
  <si>
    <t xml:space="preserve">Driver Cost</t>
  </si>
  <si>
    <t xml:space="preserve">Equipment Cost</t>
  </si>
  <si>
    <t xml:space="preserve">Overhead</t>
  </si>
  <si>
    <t xml:space="preserve">Total Cost</t>
  </si>
  <si>
    <t xml:space="preserve">Cost / Mile</t>
  </si>
  <si>
    <t xml:space="preserve">Cost / MBF</t>
  </si>
  <si>
    <t xml:space="preserve">Flag</t>
  </si>
  <si>
    <t xml:space="preserve">TOTAL</t>
  </si>
  <si>
    <t xml:space="preserve">Cost summary by species</t>
  </si>
  <si>
    <t xml:space="preserve">Loads</t>
  </si>
  <si>
    <t xml:space="preserve">Cost summary by grade</t>
  </si>
  <si>
    <t xml:space="preserve">What a human still has to check</t>
  </si>
  <si>
    <t xml:space="preserve">This sheet is the point of the exercise. The spreadsheet computes; it does not verify.</t>
  </si>
  <si>
    <t xml:space="preserve">#</t>
  </si>
  <si>
    <t xml:space="preserve">Warning</t>
  </si>
  <si>
    <t xml:space="preserve">Why it matters</t>
  </si>
  <si>
    <t xml:space="preserve">Rows flagged in column O of Cost Analysis</t>
  </si>
  <si>
    <t xml:space="preserve">Four rows in this file have deliberate problems: zero board feet, a missing fuel reading, an impossible driver-hours entry, and a mileage that does not match its destination.</t>
  </si>
  <si>
    <t xml:space="preserve">Equipment cost and overhead are placeholders</t>
  </si>
  <si>
    <t xml:space="preserve">Both live on the Assumptions sheet in yellow. They are invented. Any total using them is illustrative only.</t>
  </si>
  <si>
    <t xml:space="preserve">Round trip assumes an empty backhaul</t>
  </si>
  <si>
    <t xml:space="preserve">If a load is backhauled, the mileage doubling on Cost Analysis column E overstates cost.</t>
  </si>
  <si>
    <t xml:space="preserve">Cost per MBF divides by volume</t>
  </si>
  <si>
    <t xml:space="preserve">Any row with zero or blank board feet returns text, not a number. That is intentional — a silent zero would be worse.</t>
  </si>
  <si>
    <t xml:space="preserve">Fuel price is per row, not per fill</t>
  </si>
  <si>
    <t xml:space="preserve">If several loads share one fill, fuel cost is being allocated by an assumption nobody has stated.</t>
  </si>
  <si>
    <t xml:space="preserve">Nothing here is reconciled to accounting</t>
  </si>
  <si>
    <t xml:space="preserve">These are operational estimates. They have not been tied to the general ledger.</t>
  </si>
  <si>
    <t xml:space="preserve">Hours-of-service note</t>
  </si>
  <si>
    <t xml:space="preserve">The 11-hour value is a training screening flag for driving time, not a complete compliance determination. Confirm applicable FMCSA rules, exemptions, and company policy.</t>
  </si>
  <si>
    <t xml:space="preserve">Source: https://www.fmcsa.dot.gov/regulations/hours-service/summary-hours-service-regulations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</si>
</sst>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0"/>
    <numFmt numFmtId="167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666666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9C6500"/>
      <name val="Cambria"/>
      <family val="0"/>
      <charset val="1"/>
    </font>
    <font>
      <b val="true"/>
      <sz val="11"/>
      <color rgb="FFA8503C"/>
      <name val="Arial"/>
      <family val="0"/>
      <charset val="1"/>
    </font>
    <font>
      <i val="true"/>
      <sz val="9"/>
      <color rgb="FF9C6500"/>
      <name val="Cambria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9C650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2B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E2"/>
      </patternFill>
    </fill>
    <fill>
      <patternFill patternType="solid">
        <fgColor rgb="FFFCE4E2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A8503C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2"/>
    <col collapsed="false" customWidth="true" hidden="false" outlineLevel="0" max="4" min="4" style="1" width="56"/>
    <col collapsed="false" customWidth="true" hidden="false" outlineLevel="0" max="5" min="5" style="1" width="3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false" outlineLevel="0" collapsed="false"/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v>2</v>
      </c>
      <c r="C5" s="7" t="s">
        <v>7</v>
      </c>
      <c r="D5" s="8" t="s">
        <v>8</v>
      </c>
    </row>
    <row r="6" customFormat="false" ht="15" hidden="false" customHeight="true" outlineLevel="0" collapsed="false">
      <c r="A6" s="5" t="s">
        <v>9</v>
      </c>
      <c r="B6" s="9" t="n">
        <v>0.62</v>
      </c>
      <c r="C6" s="7" t="s">
        <v>10</v>
      </c>
      <c r="D6" s="8" t="s">
        <v>11</v>
      </c>
    </row>
    <row r="7" customFormat="false" ht="15" hidden="false" customHeight="true" outlineLevel="0" collapsed="false">
      <c r="A7" s="5" t="s">
        <v>12</v>
      </c>
      <c r="B7" s="9" t="n">
        <v>45</v>
      </c>
      <c r="C7" s="7" t="s">
        <v>13</v>
      </c>
      <c r="D7" s="8" t="s">
        <v>11</v>
      </c>
    </row>
    <row r="8" customFormat="false" ht="15" hidden="false" customHeight="true" outlineLevel="0" collapsed="false">
      <c r="A8" s="5" t="s">
        <v>14</v>
      </c>
      <c r="B8" s="10" t="n">
        <v>11</v>
      </c>
      <c r="C8" s="7" t="s">
        <v>15</v>
      </c>
      <c r="D8" s="8" t="s">
        <v>16</v>
      </c>
      <c r="E8" s="11"/>
    </row>
    <row r="9" customFormat="false" ht="15" hidden="false" customHeight="true" outlineLevel="0" collapsed="false">
      <c r="A9" s="5" t="s">
        <v>17</v>
      </c>
      <c r="B9" s="6" t="n">
        <v>8</v>
      </c>
      <c r="C9" s="7" t="s">
        <v>18</v>
      </c>
      <c r="D9" s="8" t="s">
        <v>19</v>
      </c>
    </row>
    <row r="10" customFormat="false" ht="15" hidden="false" customHeight="false" outlineLevel="0" collapsed="false"/>
    <row r="11" customFormat="false" ht="15" hidden="false" customHeight="true" outlineLevel="0" collapsed="false">
      <c r="A11" s="12" t="s">
        <v>20</v>
      </c>
    </row>
    <row r="12" customFormat="false" ht="15" hidden="false" customHeight="true" outlineLevel="0" collapsed="false">
      <c r="A12" s="3" t="s">
        <v>21</v>
      </c>
    </row>
    <row r="13" customFormat="false" ht="15" hidden="false" customHeight="false" outlineLevel="0" collapsed="false"/>
    <row r="14" customFormat="false" ht="27.75" hidden="false" customHeight="true" outlineLevel="0" collapsed="false">
      <c r="A14" s="13" t="s">
        <v>22</v>
      </c>
      <c r="B14" s="13"/>
      <c r="C14" s="13"/>
      <c r="D14" s="13"/>
    </row>
  </sheetData>
  <mergeCells count="1">
    <mergeCell ref="A14:D14"/>
  </mergeCells>
  <printOptions headings="false" gridLines="false" gridLinesSet="true" horizontalCentered="false" verticalCentered="false"/>
  <pageMargins left="0.3" right="0.3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11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7" min="6" style="1" width="11"/>
    <col collapsed="false" customWidth="true" hidden="false" outlineLevel="0" max="8" min="8" style="1" width="13"/>
    <col collapsed="false" customWidth="true" hidden="false" outlineLevel="0" max="9" min="9" style="1" width="11"/>
    <col collapsed="false" customWidth="true" hidden="false" outlineLevel="0" max="11" min="10" style="1" width="15"/>
    <col collapsed="false" customWidth="true" hidden="false" outlineLevel="0" max="14" min="12" style="1" width="18"/>
  </cols>
  <sheetData>
    <row r="1" customFormat="false" ht="26.25" hidden="false" customHeight="true" outlineLevel="0" collapsed="false">
      <c r="A1" s="14" t="s">
        <v>23</v>
      </c>
      <c r="B1" s="14" t="s">
        <v>24</v>
      </c>
      <c r="C1" s="14" t="s">
        <v>25</v>
      </c>
      <c r="D1" s="14" t="s">
        <v>26</v>
      </c>
      <c r="E1" s="14" t="s">
        <v>27</v>
      </c>
      <c r="F1" s="14" t="s">
        <v>28</v>
      </c>
      <c r="G1" s="14" t="s">
        <v>29</v>
      </c>
      <c r="H1" s="14" t="s">
        <v>30</v>
      </c>
      <c r="I1" s="14" t="s">
        <v>31</v>
      </c>
      <c r="J1" s="14" t="s">
        <v>32</v>
      </c>
      <c r="K1" s="14" t="s">
        <v>33</v>
      </c>
      <c r="L1" s="14" t="s">
        <v>34</v>
      </c>
      <c r="M1" s="14" t="s">
        <v>35</v>
      </c>
      <c r="N1" s="14" t="s">
        <v>36</v>
      </c>
    </row>
    <row r="2" customFormat="false" ht="15" hidden="false" customHeight="true" outlineLevel="0" collapsed="false">
      <c r="A2" s="15" t="s">
        <v>37</v>
      </c>
      <c r="B2" s="15" t="s">
        <v>38</v>
      </c>
      <c r="C2" s="15" t="s">
        <v>39</v>
      </c>
      <c r="D2" s="15" t="s">
        <v>40</v>
      </c>
      <c r="E2" s="15" t="n">
        <v>24</v>
      </c>
      <c r="F2" s="15" t="s">
        <v>41</v>
      </c>
      <c r="G2" s="15" t="s">
        <v>42</v>
      </c>
      <c r="H2" s="15" t="n">
        <v>5800</v>
      </c>
      <c r="I2" s="15" t="s">
        <v>43</v>
      </c>
      <c r="J2" s="15" t="n">
        <v>2.64</v>
      </c>
      <c r="K2" s="15" t="n">
        <v>9.6</v>
      </c>
      <c r="L2" s="15" t="n">
        <v>3.81</v>
      </c>
      <c r="M2" s="15" t="n">
        <v>28.5</v>
      </c>
      <c r="N2" s="15" t="n">
        <v>0</v>
      </c>
    </row>
    <row r="3" customFormat="false" ht="15" hidden="false" customHeight="true" outlineLevel="0" collapsed="false">
      <c r="A3" s="15" t="s">
        <v>44</v>
      </c>
      <c r="B3" s="15" t="s">
        <v>45</v>
      </c>
      <c r="C3" s="15" t="s">
        <v>39</v>
      </c>
      <c r="D3" s="15" t="s">
        <v>46</v>
      </c>
      <c r="E3" s="15" t="n">
        <v>38</v>
      </c>
      <c r="F3" s="15" t="s">
        <v>47</v>
      </c>
      <c r="G3" s="15" t="s">
        <v>48</v>
      </c>
      <c r="H3" s="15" t="n">
        <v>2800</v>
      </c>
      <c r="I3" s="15" t="s">
        <v>49</v>
      </c>
      <c r="J3" s="15" t="n">
        <v>2.6</v>
      </c>
      <c r="K3" s="15" t="n">
        <v>14.8</v>
      </c>
      <c r="L3" s="15" t="n">
        <v>3.95</v>
      </c>
      <c r="M3" s="15" t="n">
        <v>28.5</v>
      </c>
      <c r="N3" s="15" t="n">
        <v>0</v>
      </c>
    </row>
    <row r="4" customFormat="false" ht="15" hidden="false" customHeight="true" outlineLevel="0" collapsed="false">
      <c r="A4" s="15" t="s">
        <v>50</v>
      </c>
      <c r="B4" s="15" t="s">
        <v>51</v>
      </c>
      <c r="C4" s="15" t="s">
        <v>39</v>
      </c>
      <c r="D4" s="15" t="s">
        <v>52</v>
      </c>
      <c r="E4" s="15" t="n">
        <v>32</v>
      </c>
      <c r="F4" s="15" t="s">
        <v>53</v>
      </c>
      <c r="G4" s="15" t="s">
        <v>54</v>
      </c>
      <c r="H4" s="15" t="n">
        <v>3400</v>
      </c>
      <c r="I4" s="15" t="s">
        <v>55</v>
      </c>
      <c r="J4" s="15" t="n">
        <v>2.12</v>
      </c>
      <c r="K4" s="15" t="n">
        <v>14.9</v>
      </c>
      <c r="L4" s="15" t="n">
        <v>3.96</v>
      </c>
      <c r="M4" s="15" t="n">
        <v>29.75</v>
      </c>
      <c r="N4" s="15" t="n">
        <v>15</v>
      </c>
    </row>
    <row r="5" customFormat="false" ht="15" hidden="false" customHeight="true" outlineLevel="0" collapsed="false">
      <c r="A5" s="15" t="s">
        <v>56</v>
      </c>
      <c r="B5" s="15" t="s">
        <v>57</v>
      </c>
      <c r="C5" s="15" t="s">
        <v>39</v>
      </c>
      <c r="D5" s="15" t="s">
        <v>58</v>
      </c>
      <c r="E5" s="15" t="n">
        <v>48</v>
      </c>
      <c r="F5" s="15" t="s">
        <v>59</v>
      </c>
      <c r="G5" s="15" t="s">
        <v>60</v>
      </c>
      <c r="H5" s="15" t="n">
        <v>3400</v>
      </c>
      <c r="I5" s="15" t="s">
        <v>49</v>
      </c>
      <c r="J5" s="15" t="n">
        <v>3.38</v>
      </c>
      <c r="K5" s="15" t="n">
        <v>18.5</v>
      </c>
      <c r="L5" s="15" t="n">
        <v>4.15</v>
      </c>
      <c r="M5" s="15" t="n">
        <v>28.5</v>
      </c>
      <c r="N5" s="15" t="n">
        <v>0</v>
      </c>
    </row>
    <row r="6" customFormat="false" ht="15" hidden="false" customHeight="true" outlineLevel="0" collapsed="false">
      <c r="A6" s="15" t="s">
        <v>61</v>
      </c>
      <c r="B6" s="15" t="s">
        <v>62</v>
      </c>
      <c r="C6" s="15" t="s">
        <v>39</v>
      </c>
      <c r="D6" s="15" t="s">
        <v>63</v>
      </c>
      <c r="E6" s="15" t="n">
        <v>16</v>
      </c>
      <c r="F6" s="15" t="s">
        <v>64</v>
      </c>
      <c r="G6" s="15" t="s">
        <v>65</v>
      </c>
      <c r="H6" s="15" t="n">
        <v>5800</v>
      </c>
      <c r="I6" s="15" t="s">
        <v>66</v>
      </c>
      <c r="J6" s="15" t="n">
        <v>2.29</v>
      </c>
      <c r="K6" s="15" t="n">
        <v>7.2</v>
      </c>
      <c r="L6" s="15" t="n">
        <v>4.08</v>
      </c>
      <c r="M6" s="15" t="n">
        <v>28.5</v>
      </c>
      <c r="N6" s="15" t="n">
        <v>25</v>
      </c>
    </row>
    <row r="7" customFormat="false" ht="15" hidden="false" customHeight="true" outlineLevel="0" collapsed="false">
      <c r="A7" s="15" t="s">
        <v>67</v>
      </c>
      <c r="B7" s="15" t="s">
        <v>68</v>
      </c>
      <c r="C7" s="15" t="s">
        <v>39</v>
      </c>
      <c r="D7" s="15" t="s">
        <v>69</v>
      </c>
      <c r="E7" s="15" t="n">
        <v>18</v>
      </c>
      <c r="F7" s="15" t="s">
        <v>64</v>
      </c>
      <c r="G7" s="15" t="s">
        <v>60</v>
      </c>
      <c r="H7" s="15" t="n">
        <v>7000</v>
      </c>
      <c r="I7" s="15" t="s">
        <v>55</v>
      </c>
      <c r="J7" s="15" t="n">
        <v>1.78</v>
      </c>
      <c r="K7" s="15" t="n">
        <v>8.6</v>
      </c>
      <c r="L7" s="15" t="n">
        <v>4.11</v>
      </c>
      <c r="M7" s="15" t="n">
        <v>31</v>
      </c>
      <c r="N7" s="15" t="n">
        <v>15</v>
      </c>
    </row>
    <row r="8" customFormat="false" ht="15" hidden="false" customHeight="true" outlineLevel="0" collapsed="false">
      <c r="A8" s="15" t="s">
        <v>70</v>
      </c>
      <c r="B8" s="15" t="s">
        <v>71</v>
      </c>
      <c r="C8" s="15" t="s">
        <v>39</v>
      </c>
      <c r="D8" s="15" t="s">
        <v>58</v>
      </c>
      <c r="E8" s="15" t="n">
        <v>48</v>
      </c>
      <c r="F8" s="15" t="s">
        <v>53</v>
      </c>
      <c r="G8" s="15" t="s">
        <v>60</v>
      </c>
      <c r="H8" s="15" t="n">
        <v>0</v>
      </c>
      <c r="I8" s="15" t="s">
        <v>55</v>
      </c>
      <c r="J8" s="15" t="n">
        <v>3.4</v>
      </c>
      <c r="K8" s="15" t="n">
        <v>20.1</v>
      </c>
      <c r="L8" s="15" t="n">
        <v>3.79</v>
      </c>
      <c r="M8" s="15" t="n">
        <v>28.5</v>
      </c>
      <c r="N8" s="15" t="n">
        <v>0</v>
      </c>
    </row>
    <row r="9" customFormat="false" ht="15" hidden="false" customHeight="true" outlineLevel="0" collapsed="false">
      <c r="A9" s="15" t="s">
        <v>72</v>
      </c>
      <c r="B9" s="15" t="s">
        <v>73</v>
      </c>
      <c r="C9" s="15" t="s">
        <v>39</v>
      </c>
      <c r="D9" s="15" t="s">
        <v>74</v>
      </c>
      <c r="E9" s="15" t="n">
        <v>30</v>
      </c>
      <c r="F9" s="15" t="s">
        <v>75</v>
      </c>
      <c r="G9" s="15" t="s">
        <v>60</v>
      </c>
      <c r="H9" s="15" t="n">
        <v>4100</v>
      </c>
      <c r="I9" s="15" t="s">
        <v>43</v>
      </c>
      <c r="J9" s="15" t="n">
        <v>2.59</v>
      </c>
      <c r="K9" s="15" t="n">
        <v>12</v>
      </c>
      <c r="L9" s="15" t="n">
        <v>3.72</v>
      </c>
      <c r="M9" s="15" t="n">
        <v>31</v>
      </c>
      <c r="N9" s="15" t="n">
        <v>40</v>
      </c>
    </row>
    <row r="10" customFormat="false" ht="15" hidden="false" customHeight="true" outlineLevel="0" collapsed="false">
      <c r="A10" s="15" t="s">
        <v>76</v>
      </c>
      <c r="B10" s="15" t="s">
        <v>77</v>
      </c>
      <c r="C10" s="15" t="s">
        <v>39</v>
      </c>
      <c r="D10" s="15" t="s">
        <v>78</v>
      </c>
      <c r="E10" s="15" t="n">
        <v>62</v>
      </c>
      <c r="F10" s="15" t="s">
        <v>47</v>
      </c>
      <c r="G10" s="15" t="s">
        <v>60</v>
      </c>
      <c r="H10" s="15" t="n">
        <v>5200</v>
      </c>
      <c r="I10" s="15" t="s">
        <v>79</v>
      </c>
      <c r="J10" s="15" t="n">
        <v>3.51</v>
      </c>
      <c r="K10" s="15" t="n">
        <v>23.5</v>
      </c>
      <c r="L10" s="15" t="n">
        <v>4.04</v>
      </c>
      <c r="M10" s="15" t="n">
        <v>31</v>
      </c>
      <c r="N10" s="15" t="n">
        <v>40</v>
      </c>
    </row>
    <row r="11" customFormat="false" ht="15" hidden="false" customHeight="true" outlineLevel="0" collapsed="false">
      <c r="A11" s="15" t="s">
        <v>80</v>
      </c>
      <c r="B11" s="15" t="s">
        <v>81</v>
      </c>
      <c r="C11" s="15" t="s">
        <v>39</v>
      </c>
      <c r="D11" s="15" t="s">
        <v>82</v>
      </c>
      <c r="E11" s="15" t="n">
        <v>76</v>
      </c>
      <c r="F11" s="15" t="s">
        <v>53</v>
      </c>
      <c r="G11" s="15" t="s">
        <v>54</v>
      </c>
      <c r="H11" s="15" t="n">
        <v>6300</v>
      </c>
      <c r="I11" s="15" t="s">
        <v>66</v>
      </c>
      <c r="J11" s="15" t="n">
        <v>3.75</v>
      </c>
      <c r="K11" s="15" t="n">
        <v>28.8</v>
      </c>
      <c r="L11" s="15" t="n">
        <v>4.12</v>
      </c>
      <c r="M11" s="15" t="n">
        <v>31</v>
      </c>
      <c r="N11" s="15" t="n">
        <v>0</v>
      </c>
    </row>
    <row r="12" customFormat="false" ht="15" hidden="false" customHeight="true" outlineLevel="0" collapsed="false">
      <c r="A12" s="15" t="s">
        <v>83</v>
      </c>
      <c r="B12" s="15" t="s">
        <v>84</v>
      </c>
      <c r="C12" s="15" t="s">
        <v>39</v>
      </c>
      <c r="D12" s="15" t="s">
        <v>85</v>
      </c>
      <c r="E12" s="15" t="n">
        <v>42</v>
      </c>
      <c r="F12" s="15" t="s">
        <v>64</v>
      </c>
      <c r="G12" s="15" t="s">
        <v>54</v>
      </c>
      <c r="H12" s="15" t="n">
        <v>3400</v>
      </c>
      <c r="I12" s="15" t="s">
        <v>43</v>
      </c>
      <c r="J12" s="15" t="n">
        <v>2.61</v>
      </c>
      <c r="K12" s="15" t="n">
        <v>19</v>
      </c>
      <c r="L12" s="15" t="n">
        <v>3.85</v>
      </c>
      <c r="M12" s="15" t="n">
        <v>29.75</v>
      </c>
      <c r="N12" s="15" t="n">
        <v>15</v>
      </c>
    </row>
    <row r="13" customFormat="false" ht="15" hidden="false" customHeight="true" outlineLevel="0" collapsed="false">
      <c r="A13" s="15" t="s">
        <v>86</v>
      </c>
      <c r="B13" s="15" t="s">
        <v>87</v>
      </c>
      <c r="C13" s="15" t="s">
        <v>39</v>
      </c>
      <c r="D13" s="15" t="s">
        <v>40</v>
      </c>
      <c r="E13" s="15" t="n">
        <v>24</v>
      </c>
      <c r="F13" s="15" t="s">
        <v>59</v>
      </c>
      <c r="G13" s="15" t="s">
        <v>48</v>
      </c>
      <c r="H13" s="15" t="n">
        <v>6300</v>
      </c>
      <c r="I13" s="15" t="s">
        <v>43</v>
      </c>
      <c r="J13" s="15" t="n">
        <v>2.48</v>
      </c>
      <c r="K13" s="15" t="n">
        <v>12.2</v>
      </c>
      <c r="L13" s="15" t="n">
        <v>3.95</v>
      </c>
      <c r="M13" s="15" t="n">
        <v>28.5</v>
      </c>
      <c r="N13" s="15" t="n">
        <v>0</v>
      </c>
    </row>
    <row r="14" customFormat="false" ht="15" hidden="false" customHeight="true" outlineLevel="0" collapsed="false">
      <c r="A14" s="15" t="s">
        <v>88</v>
      </c>
      <c r="B14" s="15" t="s">
        <v>73</v>
      </c>
      <c r="C14" s="15" t="s">
        <v>39</v>
      </c>
      <c r="D14" s="15" t="s">
        <v>69</v>
      </c>
      <c r="E14" s="15" t="n">
        <v>18</v>
      </c>
      <c r="F14" s="15" t="s">
        <v>59</v>
      </c>
      <c r="G14" s="15" t="s">
        <v>89</v>
      </c>
      <c r="H14" s="15" t="n">
        <v>7000</v>
      </c>
      <c r="I14" s="15" t="s">
        <v>43</v>
      </c>
      <c r="J14" s="15" t="n">
        <v>1.77</v>
      </c>
      <c r="K14" s="15" t="n">
        <v>9.9</v>
      </c>
      <c r="L14" s="15" t="n">
        <v>3.78</v>
      </c>
      <c r="M14" s="15" t="n">
        <v>28.5</v>
      </c>
      <c r="N14" s="15" t="n">
        <v>15</v>
      </c>
    </row>
    <row r="15" customFormat="false" ht="15" hidden="false" customHeight="true" outlineLevel="0" collapsed="false">
      <c r="A15" s="15" t="s">
        <v>90</v>
      </c>
      <c r="B15" s="15" t="s">
        <v>91</v>
      </c>
      <c r="C15" s="15" t="s">
        <v>39</v>
      </c>
      <c r="D15" s="15" t="s">
        <v>92</v>
      </c>
      <c r="E15" s="15" t="n">
        <v>44</v>
      </c>
      <c r="F15" s="15" t="s">
        <v>59</v>
      </c>
      <c r="G15" s="15" t="s">
        <v>42</v>
      </c>
      <c r="H15" s="15" t="n">
        <v>2800</v>
      </c>
      <c r="I15" s="15" t="s">
        <v>66</v>
      </c>
      <c r="J15" s="15" t="n">
        <v>2.66</v>
      </c>
      <c r="K15" s="15"/>
      <c r="L15" s="15" t="n">
        <v>3.67</v>
      </c>
      <c r="M15" s="15" t="n">
        <v>29.75</v>
      </c>
      <c r="N15" s="15" t="n">
        <v>40</v>
      </c>
    </row>
    <row r="16" customFormat="false" ht="15" hidden="false" customHeight="true" outlineLevel="0" collapsed="false">
      <c r="A16" s="15" t="s">
        <v>93</v>
      </c>
      <c r="B16" s="15" t="s">
        <v>81</v>
      </c>
      <c r="C16" s="15" t="s">
        <v>39</v>
      </c>
      <c r="D16" s="15" t="s">
        <v>74</v>
      </c>
      <c r="E16" s="15" t="n">
        <v>30</v>
      </c>
      <c r="F16" s="15" t="s">
        <v>53</v>
      </c>
      <c r="G16" s="15" t="s">
        <v>65</v>
      </c>
      <c r="H16" s="15" t="n">
        <v>7000</v>
      </c>
      <c r="I16" s="15" t="s">
        <v>43</v>
      </c>
      <c r="J16" s="15" t="n">
        <v>2.28</v>
      </c>
      <c r="K16" s="15" t="n">
        <v>13.4</v>
      </c>
      <c r="L16" s="15" t="n">
        <v>4.08</v>
      </c>
      <c r="M16" s="15" t="n">
        <v>29.75</v>
      </c>
      <c r="N16" s="15" t="n">
        <v>15</v>
      </c>
    </row>
    <row r="17" customFormat="false" ht="15" hidden="false" customHeight="true" outlineLevel="0" collapsed="false">
      <c r="A17" s="15" t="s">
        <v>94</v>
      </c>
      <c r="B17" s="15" t="s">
        <v>95</v>
      </c>
      <c r="C17" s="15" t="s">
        <v>39</v>
      </c>
      <c r="D17" s="15" t="s">
        <v>69</v>
      </c>
      <c r="E17" s="15" t="n">
        <v>18</v>
      </c>
      <c r="F17" s="15" t="s">
        <v>75</v>
      </c>
      <c r="G17" s="15" t="s">
        <v>48</v>
      </c>
      <c r="H17" s="15" t="n">
        <v>2800</v>
      </c>
      <c r="I17" s="15" t="s">
        <v>79</v>
      </c>
      <c r="J17" s="15" t="n">
        <v>1.66</v>
      </c>
      <c r="K17" s="15" t="n">
        <v>7.9</v>
      </c>
      <c r="L17" s="15" t="n">
        <v>3.9</v>
      </c>
      <c r="M17" s="15" t="n">
        <v>31</v>
      </c>
      <c r="N17" s="15" t="n">
        <v>0</v>
      </c>
    </row>
    <row r="18" customFormat="false" ht="15" hidden="false" customHeight="true" outlineLevel="0" collapsed="false">
      <c r="A18" s="15" t="s">
        <v>96</v>
      </c>
      <c r="B18" s="15" t="s">
        <v>97</v>
      </c>
      <c r="C18" s="15" t="s">
        <v>39</v>
      </c>
      <c r="D18" s="15" t="s">
        <v>58</v>
      </c>
      <c r="E18" s="15" t="n">
        <v>48</v>
      </c>
      <c r="F18" s="15" t="s">
        <v>59</v>
      </c>
      <c r="G18" s="15" t="s">
        <v>42</v>
      </c>
      <c r="H18" s="15" t="n">
        <v>2800</v>
      </c>
      <c r="I18" s="15" t="s">
        <v>43</v>
      </c>
      <c r="J18" s="15" t="n">
        <v>2.76</v>
      </c>
      <c r="K18" s="15" t="n">
        <v>18.5</v>
      </c>
      <c r="L18" s="15" t="n">
        <v>3.85</v>
      </c>
      <c r="M18" s="15" t="n">
        <v>29.75</v>
      </c>
      <c r="N18" s="15" t="n">
        <v>25</v>
      </c>
    </row>
    <row r="19" customFormat="false" ht="15" hidden="false" customHeight="true" outlineLevel="0" collapsed="false">
      <c r="A19" s="15" t="s">
        <v>98</v>
      </c>
      <c r="B19" s="15" t="s">
        <v>99</v>
      </c>
      <c r="C19" s="15" t="s">
        <v>39</v>
      </c>
      <c r="D19" s="15" t="s">
        <v>69</v>
      </c>
      <c r="E19" s="15" t="n">
        <v>18</v>
      </c>
      <c r="F19" s="15" t="s">
        <v>41</v>
      </c>
      <c r="G19" s="15" t="s">
        <v>54</v>
      </c>
      <c r="H19" s="15" t="n">
        <v>4600</v>
      </c>
      <c r="I19" s="15" t="s">
        <v>43</v>
      </c>
      <c r="J19" s="15" t="n">
        <v>2.24</v>
      </c>
      <c r="K19" s="15" t="n">
        <v>9.5</v>
      </c>
      <c r="L19" s="15" t="n">
        <v>4.08</v>
      </c>
      <c r="M19" s="15" t="n">
        <v>29.75</v>
      </c>
      <c r="N19" s="15" t="n">
        <v>0</v>
      </c>
    </row>
    <row r="20" customFormat="false" ht="15" hidden="false" customHeight="true" outlineLevel="0" collapsed="false">
      <c r="A20" s="15" t="s">
        <v>100</v>
      </c>
      <c r="B20" s="15" t="s">
        <v>84</v>
      </c>
      <c r="C20" s="15" t="s">
        <v>39</v>
      </c>
      <c r="D20" s="15" t="s">
        <v>92</v>
      </c>
      <c r="E20" s="15" t="n">
        <v>44</v>
      </c>
      <c r="F20" s="15" t="s">
        <v>47</v>
      </c>
      <c r="G20" s="15" t="s">
        <v>65</v>
      </c>
      <c r="H20" s="15" t="n">
        <v>4100</v>
      </c>
      <c r="I20" s="15" t="s">
        <v>49</v>
      </c>
      <c r="J20" s="15" t="n">
        <v>2.97</v>
      </c>
      <c r="K20" s="15" t="n">
        <v>18.4</v>
      </c>
      <c r="L20" s="15" t="n">
        <v>3.88</v>
      </c>
      <c r="M20" s="15" t="n">
        <v>31</v>
      </c>
      <c r="N20" s="15" t="n">
        <v>25</v>
      </c>
    </row>
    <row r="21" customFormat="false" ht="15" hidden="false" customHeight="true" outlineLevel="0" collapsed="false">
      <c r="A21" s="15" t="s">
        <v>101</v>
      </c>
      <c r="B21" s="15" t="s">
        <v>102</v>
      </c>
      <c r="C21" s="15" t="s">
        <v>39</v>
      </c>
      <c r="D21" s="15" t="s">
        <v>82</v>
      </c>
      <c r="E21" s="15" t="n">
        <v>3</v>
      </c>
      <c r="F21" s="15" t="s">
        <v>47</v>
      </c>
      <c r="G21" s="15" t="s">
        <v>48</v>
      </c>
      <c r="H21" s="15" t="n">
        <v>6300</v>
      </c>
      <c r="I21" s="15" t="s">
        <v>43</v>
      </c>
      <c r="J21" s="15" t="n">
        <v>1.78</v>
      </c>
      <c r="K21" s="15" t="n">
        <v>8.4</v>
      </c>
      <c r="L21" s="15" t="n">
        <v>3.95</v>
      </c>
      <c r="M21" s="15" t="n">
        <v>31</v>
      </c>
      <c r="N21" s="15" t="n">
        <v>25</v>
      </c>
    </row>
    <row r="22" customFormat="false" ht="15" hidden="false" customHeight="true" outlineLevel="0" collapsed="false">
      <c r="A22" s="15" t="s">
        <v>103</v>
      </c>
      <c r="B22" s="15" t="s">
        <v>104</v>
      </c>
      <c r="C22" s="15" t="s">
        <v>39</v>
      </c>
      <c r="D22" s="15" t="s">
        <v>105</v>
      </c>
      <c r="E22" s="15" t="n">
        <v>45</v>
      </c>
      <c r="F22" s="15" t="s">
        <v>47</v>
      </c>
      <c r="G22" s="15" t="s">
        <v>54</v>
      </c>
      <c r="H22" s="15" t="n">
        <v>6300</v>
      </c>
      <c r="I22" s="15" t="s">
        <v>43</v>
      </c>
      <c r="J22" s="15" t="n">
        <v>2.79</v>
      </c>
      <c r="K22" s="15" t="n">
        <v>18.6</v>
      </c>
      <c r="L22" s="15" t="n">
        <v>3.79</v>
      </c>
      <c r="M22" s="15" t="n">
        <v>31</v>
      </c>
      <c r="N22" s="15" t="n">
        <v>0</v>
      </c>
    </row>
    <row r="23" customFormat="false" ht="15" hidden="false" customHeight="true" outlineLevel="0" collapsed="false">
      <c r="A23" s="15" t="s">
        <v>106</v>
      </c>
      <c r="B23" s="15" t="s">
        <v>107</v>
      </c>
      <c r="C23" s="15" t="s">
        <v>39</v>
      </c>
      <c r="D23" s="15" t="s">
        <v>108</v>
      </c>
      <c r="E23" s="15" t="n">
        <v>12</v>
      </c>
      <c r="F23" s="15" t="s">
        <v>47</v>
      </c>
      <c r="G23" s="15" t="s">
        <v>54</v>
      </c>
      <c r="H23" s="15" t="n">
        <v>2800</v>
      </c>
      <c r="I23" s="15" t="s">
        <v>79</v>
      </c>
      <c r="J23" s="15" t="n">
        <v>2.25</v>
      </c>
      <c r="K23" s="15" t="n">
        <v>7.3</v>
      </c>
      <c r="L23" s="15" t="n">
        <v>3.64</v>
      </c>
      <c r="M23" s="15" t="n">
        <v>28.5</v>
      </c>
      <c r="N23" s="15" t="n">
        <v>40</v>
      </c>
    </row>
    <row r="24" customFormat="false" ht="15" hidden="false" customHeight="true" outlineLevel="0" collapsed="false">
      <c r="A24" s="15" t="s">
        <v>109</v>
      </c>
      <c r="B24" s="15" t="s">
        <v>87</v>
      </c>
      <c r="C24" s="15" t="s">
        <v>39</v>
      </c>
      <c r="D24" s="15" t="s">
        <v>85</v>
      </c>
      <c r="E24" s="15" t="n">
        <v>42</v>
      </c>
      <c r="F24" s="15" t="s">
        <v>41</v>
      </c>
      <c r="G24" s="15" t="s">
        <v>42</v>
      </c>
      <c r="H24" s="15" t="n">
        <v>3400</v>
      </c>
      <c r="I24" s="15" t="s">
        <v>79</v>
      </c>
      <c r="J24" s="15" t="n">
        <v>26.5</v>
      </c>
      <c r="K24" s="15" t="n">
        <v>16.6</v>
      </c>
      <c r="L24" s="15" t="n">
        <v>4.04</v>
      </c>
      <c r="M24" s="15" t="n">
        <v>31</v>
      </c>
      <c r="N24" s="15" t="n">
        <v>0</v>
      </c>
    </row>
    <row r="25" customFormat="false" ht="15" hidden="false" customHeight="true" outlineLevel="0" collapsed="false">
      <c r="A25" s="15" t="s">
        <v>110</v>
      </c>
      <c r="B25" s="15" t="s">
        <v>73</v>
      </c>
      <c r="C25" s="15" t="s">
        <v>39</v>
      </c>
      <c r="D25" s="15" t="s">
        <v>74</v>
      </c>
      <c r="E25" s="15" t="n">
        <v>30</v>
      </c>
      <c r="F25" s="15" t="s">
        <v>47</v>
      </c>
      <c r="G25" s="15" t="s">
        <v>48</v>
      </c>
      <c r="H25" s="15" t="n">
        <v>4600</v>
      </c>
      <c r="I25" s="15" t="s">
        <v>66</v>
      </c>
      <c r="J25" s="15" t="n">
        <v>2.06</v>
      </c>
      <c r="K25" s="15" t="n">
        <v>14.7</v>
      </c>
      <c r="L25" s="15" t="n">
        <v>3.62</v>
      </c>
      <c r="M25" s="15" t="n">
        <v>29.75</v>
      </c>
      <c r="N25" s="15" t="n">
        <v>0</v>
      </c>
    </row>
    <row r="26" customFormat="false" ht="15" hidden="false" customHeight="true" outlineLevel="0" collapsed="false">
      <c r="A26" s="15" t="s">
        <v>111</v>
      </c>
      <c r="B26" s="15" t="s">
        <v>112</v>
      </c>
      <c r="C26" s="15" t="s">
        <v>39</v>
      </c>
      <c r="D26" s="15" t="s">
        <v>46</v>
      </c>
      <c r="E26" s="15" t="n">
        <v>38</v>
      </c>
      <c r="F26" s="15" t="s">
        <v>75</v>
      </c>
      <c r="G26" s="15" t="s">
        <v>54</v>
      </c>
      <c r="H26" s="15" t="n">
        <v>6300</v>
      </c>
      <c r="I26" s="15" t="s">
        <v>43</v>
      </c>
      <c r="J26" s="15" t="n">
        <v>2.32</v>
      </c>
      <c r="K26" s="15" t="n">
        <v>16.9</v>
      </c>
      <c r="L26" s="15" t="n">
        <v>4.05</v>
      </c>
      <c r="M26" s="15" t="n">
        <v>29.75</v>
      </c>
      <c r="N26" s="15" t="n">
        <v>40</v>
      </c>
    </row>
    <row r="27" customFormat="false" ht="15" hidden="false" customHeight="true" outlineLevel="0" collapsed="false">
      <c r="A27" s="15" t="s">
        <v>113</v>
      </c>
      <c r="B27" s="15" t="s">
        <v>114</v>
      </c>
      <c r="C27" s="15" t="s">
        <v>39</v>
      </c>
      <c r="D27" s="15" t="s">
        <v>58</v>
      </c>
      <c r="E27" s="15" t="n">
        <v>48</v>
      </c>
      <c r="F27" s="15" t="s">
        <v>53</v>
      </c>
      <c r="G27" s="15" t="s">
        <v>42</v>
      </c>
      <c r="H27" s="15" t="n">
        <v>3400</v>
      </c>
      <c r="I27" s="15" t="s">
        <v>55</v>
      </c>
      <c r="J27" s="15" t="n">
        <v>3.31</v>
      </c>
      <c r="K27" s="15" t="n">
        <v>18.3</v>
      </c>
      <c r="L27" s="15" t="n">
        <v>3.97</v>
      </c>
      <c r="M27" s="15" t="n">
        <v>28.5</v>
      </c>
      <c r="N27" s="15" t="n">
        <v>15</v>
      </c>
    </row>
    <row r="28" customFormat="false" ht="15" hidden="false" customHeight="true" outlineLevel="0" collapsed="false">
      <c r="A28" s="15" t="s">
        <v>115</v>
      </c>
      <c r="B28" s="15" t="s">
        <v>116</v>
      </c>
      <c r="C28" s="15" t="s">
        <v>39</v>
      </c>
      <c r="D28" s="15" t="s">
        <v>52</v>
      </c>
      <c r="E28" s="15" t="n">
        <v>32</v>
      </c>
      <c r="F28" s="15" t="s">
        <v>41</v>
      </c>
      <c r="G28" s="15" t="s">
        <v>54</v>
      </c>
      <c r="H28" s="15" t="n">
        <v>5200</v>
      </c>
      <c r="I28" s="15" t="s">
        <v>66</v>
      </c>
      <c r="J28" s="15" t="n">
        <v>2.82</v>
      </c>
      <c r="K28" s="15" t="n">
        <v>15.4</v>
      </c>
      <c r="L28" s="15" t="n">
        <v>3.94</v>
      </c>
      <c r="M28" s="15" t="n">
        <v>28.5</v>
      </c>
      <c r="N28" s="15" t="n">
        <v>40</v>
      </c>
    </row>
    <row r="29" customFormat="false" ht="15" hidden="false" customHeight="true" outlineLevel="0" collapsed="false">
      <c r="A29" s="15" t="s">
        <v>117</v>
      </c>
      <c r="B29" s="15" t="s">
        <v>45</v>
      </c>
      <c r="C29" s="15" t="s">
        <v>39</v>
      </c>
      <c r="D29" s="15" t="s">
        <v>85</v>
      </c>
      <c r="E29" s="15" t="n">
        <v>42</v>
      </c>
      <c r="F29" s="15" t="s">
        <v>118</v>
      </c>
      <c r="G29" s="15" t="s">
        <v>89</v>
      </c>
      <c r="H29" s="15" t="n">
        <v>6300</v>
      </c>
      <c r="I29" s="15" t="s">
        <v>43</v>
      </c>
      <c r="J29" s="15" t="n">
        <v>3.19</v>
      </c>
      <c r="K29" s="15" t="n">
        <v>17.4</v>
      </c>
      <c r="L29" s="15" t="n">
        <v>4.15</v>
      </c>
      <c r="M29" s="15" t="n">
        <v>29.75</v>
      </c>
      <c r="N29" s="15" t="n">
        <v>15</v>
      </c>
    </row>
  </sheetData>
  <printOptions headings="false" gridLines="false" gridLinesSet="true" horizontalCentered="false" verticalCentered="false"/>
  <pageMargins left="0.3" right="0.3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8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8"/>
    <col collapsed="false" customWidth="true" hidden="false" outlineLevel="0" max="9" min="8" style="1" width="11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4" min="13" style="1" width="11"/>
    <col collapsed="false" customWidth="true" hidden="false" outlineLevel="0" max="15" min="15" style="1" width="20"/>
  </cols>
  <sheetData>
    <row r="1" customFormat="false" ht="26.25" hidden="false" customHeight="true" outlineLevel="0" collapsed="false">
      <c r="A1" s="16" t="s">
        <v>119</v>
      </c>
      <c r="B1" s="16" t="s">
        <v>26</v>
      </c>
      <c r="C1" s="16" t="s">
        <v>28</v>
      </c>
      <c r="D1" s="16" t="s">
        <v>29</v>
      </c>
      <c r="E1" s="16" t="s">
        <v>120</v>
      </c>
      <c r="F1" s="16" t="s">
        <v>30</v>
      </c>
      <c r="G1" s="16" t="s">
        <v>121</v>
      </c>
      <c r="H1" s="16" t="s">
        <v>122</v>
      </c>
      <c r="I1" s="16" t="s">
        <v>123</v>
      </c>
      <c r="J1" s="16" t="s">
        <v>124</v>
      </c>
      <c r="K1" s="16" t="s">
        <v>125</v>
      </c>
      <c r="L1" s="16" t="s">
        <v>126</v>
      </c>
      <c r="M1" s="16" t="s">
        <v>127</v>
      </c>
      <c r="N1" s="16" t="s">
        <v>128</v>
      </c>
      <c r="O1" s="16" t="s">
        <v>129</v>
      </c>
    </row>
    <row r="2" customFormat="false" ht="15" hidden="false" customHeight="true" outlineLevel="0" collapsed="false">
      <c r="A2" s="15" t="str">
        <f aca="false">'Haul Data'!A2</f>
        <v>HL-1001</v>
      </c>
      <c r="B2" s="15" t="str">
        <f aca="false">'Haul Data'!D2</f>
        <v>Aniwa</v>
      </c>
      <c r="C2" s="15" t="str">
        <f aca="false">'Haul Data'!F2</f>
        <v>Soft Maple</v>
      </c>
      <c r="D2" s="15" t="str">
        <f aca="false">'Haul Data'!G2</f>
        <v>2AC</v>
      </c>
      <c r="E2" s="15" t="n">
        <f aca="false">'Haul Data'!E2*Assumptions!$B$5</f>
        <v>48</v>
      </c>
      <c r="F2" s="15" t="n">
        <f aca="false">'Haul Data'!H2</f>
        <v>5800</v>
      </c>
      <c r="G2" s="17" t="n">
        <f aca="false">F2/1000</f>
        <v>5.8</v>
      </c>
      <c r="H2" s="18" t="n">
        <f aca="false">IFERROR('Haul Data'!K2*'Haul Data'!L2,0)</f>
        <v>36.576</v>
      </c>
      <c r="I2" s="18" t="n">
        <f aca="false">IFERROR('Haul Data'!J2*'Haul Data'!M2,0)</f>
        <v>75.24</v>
      </c>
      <c r="J2" s="18" t="n">
        <f aca="false">E2*Assumptions!$B$6</f>
        <v>29.76</v>
      </c>
      <c r="K2" s="18" t="n">
        <f aca="false">Assumptions!$B$7</f>
        <v>45</v>
      </c>
      <c r="L2" s="18" t="n">
        <f aca="false">SUM(H2:K2)+'Haul Data'!N2</f>
        <v>186.576</v>
      </c>
      <c r="M2" s="18" t="n">
        <f aca="false">IFERROR(L2/E2,"check miles")</f>
        <v>3.887</v>
      </c>
      <c r="N2" s="18" t="n">
        <f aca="false">IFERROR(L2/G2,"no volume")</f>
        <v>32.168275862069</v>
      </c>
      <c r="O2" s="15" t="str">
        <f aca="false">IF(F2=0,"Zero board feet",IF('Haul Data'!K2="","Missing fuel",IF('Haul Data'!J2&gt;Assumptions!$B$8,"Driving-hours screening flag",IF('Haul Data'!E2&lt;Assumptions!$B$9,"Miles look wrong","OK"))))</f>
        <v>OK</v>
      </c>
    </row>
    <row r="3" customFormat="false" ht="15" hidden="false" customHeight="true" outlineLevel="0" collapsed="false">
      <c r="A3" s="15" t="str">
        <f aca="false">'Haul Data'!A3</f>
        <v>HL-1002</v>
      </c>
      <c r="B3" s="15" t="str">
        <f aca="false">'Haul Data'!D3</f>
        <v>Tomahawk</v>
      </c>
      <c r="C3" s="15" t="str">
        <f aca="false">'Haul Data'!F3</f>
        <v>White Ash</v>
      </c>
      <c r="D3" s="15" t="str">
        <f aca="false">'Haul Data'!G3</f>
        <v>Select</v>
      </c>
      <c r="E3" s="15" t="n">
        <f aca="false">'Haul Data'!E3*Assumptions!$B$5</f>
        <v>76</v>
      </c>
      <c r="F3" s="15" t="n">
        <f aca="false">'Haul Data'!H3</f>
        <v>2800</v>
      </c>
      <c r="G3" s="17" t="n">
        <f aca="false">F3/1000</f>
        <v>2.8</v>
      </c>
      <c r="H3" s="18" t="n">
        <f aca="false">IFERROR('Haul Data'!K3*'Haul Data'!L3,0)</f>
        <v>58.46</v>
      </c>
      <c r="I3" s="18" t="n">
        <f aca="false">IFERROR('Haul Data'!J3*'Haul Data'!M3,0)</f>
        <v>74.1</v>
      </c>
      <c r="J3" s="18" t="n">
        <f aca="false">E3*Assumptions!$B$6</f>
        <v>47.12</v>
      </c>
      <c r="K3" s="18" t="n">
        <f aca="false">Assumptions!$B$7</f>
        <v>45</v>
      </c>
      <c r="L3" s="18" t="n">
        <f aca="false">SUM(H3:K3)+'Haul Data'!N3</f>
        <v>224.68</v>
      </c>
      <c r="M3" s="18" t="n">
        <f aca="false">IFERROR(L3/E3,"check miles")</f>
        <v>2.95631578947368</v>
      </c>
      <c r="N3" s="18" t="n">
        <f aca="false">IFERROR(L3/G3,"no volume")</f>
        <v>80.2428571428572</v>
      </c>
      <c r="O3" s="15" t="str">
        <f aca="false">IF(F3=0,"Zero board feet",IF('Haul Data'!K3="","Missing fuel",IF('Haul Data'!J3&gt;Assumptions!$B$8,"Driving-hours screening flag",IF('Haul Data'!E3&lt;Assumptions!$B$9,"Miles look wrong","OK"))))</f>
        <v>OK</v>
      </c>
    </row>
    <row r="4" customFormat="false" ht="15" hidden="false" customHeight="true" outlineLevel="0" collapsed="false">
      <c r="A4" s="15" t="str">
        <f aca="false">'Haul Data'!A4</f>
        <v>HL-1003</v>
      </c>
      <c r="B4" s="15" t="str">
        <f aca="false">'Haul Data'!D4</f>
        <v>Merrill</v>
      </c>
      <c r="C4" s="15" t="str">
        <f aca="false">'Haul Data'!F4</f>
        <v>Aspen</v>
      </c>
      <c r="D4" s="15" t="str">
        <f aca="false">'Haul Data'!G4</f>
        <v>1C</v>
      </c>
      <c r="E4" s="15" t="n">
        <f aca="false">'Haul Data'!E4*Assumptions!$B$5</f>
        <v>64</v>
      </c>
      <c r="F4" s="15" t="n">
        <f aca="false">'Haul Data'!H4</f>
        <v>3400</v>
      </c>
      <c r="G4" s="17" t="n">
        <f aca="false">F4/1000</f>
        <v>3.4</v>
      </c>
      <c r="H4" s="18" t="n">
        <f aca="false">IFERROR('Haul Data'!K4*'Haul Data'!L4,0)</f>
        <v>59.004</v>
      </c>
      <c r="I4" s="18" t="n">
        <f aca="false">IFERROR('Haul Data'!J4*'Haul Data'!M4,0)</f>
        <v>63.07</v>
      </c>
      <c r="J4" s="18" t="n">
        <f aca="false">E4*Assumptions!$B$6</f>
        <v>39.68</v>
      </c>
      <c r="K4" s="18" t="n">
        <f aca="false">Assumptions!$B$7</f>
        <v>45</v>
      </c>
      <c r="L4" s="18" t="n">
        <f aca="false">SUM(H4:K4)+'Haul Data'!N4</f>
        <v>221.754</v>
      </c>
      <c r="M4" s="18" t="n">
        <f aca="false">IFERROR(L4/E4,"check miles")</f>
        <v>3.46490625</v>
      </c>
      <c r="N4" s="18" t="n">
        <f aca="false">IFERROR(L4/G4,"no volume")</f>
        <v>65.2217647058824</v>
      </c>
      <c r="O4" s="15" t="str">
        <f aca="false">IF(F4=0,"Zero board feet",IF('Haul Data'!K4="","Missing fuel",IF('Haul Data'!J4&gt;Assumptions!$B$8,"Driving-hours screening flag",IF('Haul Data'!E4&lt;Assumptions!$B$9,"Miles look wrong","OK"))))</f>
        <v>OK</v>
      </c>
    </row>
    <row r="5" customFormat="false" ht="15" hidden="false" customHeight="true" outlineLevel="0" collapsed="false">
      <c r="A5" s="15" t="str">
        <f aca="false">'Haul Data'!A5</f>
        <v>HL-1004</v>
      </c>
      <c r="B5" s="15" t="str">
        <f aca="false">'Haul Data'!D5</f>
        <v>Shawano</v>
      </c>
      <c r="C5" s="15" t="str">
        <f aca="false">'Haul Data'!F5</f>
        <v>Red Oak</v>
      </c>
      <c r="D5" s="15" t="str">
        <f aca="false">'Haul Data'!G5</f>
        <v>F1F</v>
      </c>
      <c r="E5" s="15" t="n">
        <f aca="false">'Haul Data'!E5*Assumptions!$B$5</f>
        <v>96</v>
      </c>
      <c r="F5" s="15" t="n">
        <f aca="false">'Haul Data'!H5</f>
        <v>3400</v>
      </c>
      <c r="G5" s="17" t="n">
        <f aca="false">F5/1000</f>
        <v>3.4</v>
      </c>
      <c r="H5" s="18" t="n">
        <f aca="false">IFERROR('Haul Data'!K5*'Haul Data'!L5,0)</f>
        <v>76.775</v>
      </c>
      <c r="I5" s="18" t="n">
        <f aca="false">IFERROR('Haul Data'!J5*'Haul Data'!M5,0)</f>
        <v>96.33</v>
      </c>
      <c r="J5" s="18" t="n">
        <f aca="false">E5*Assumptions!$B$6</f>
        <v>59.52</v>
      </c>
      <c r="K5" s="18" t="n">
        <f aca="false">Assumptions!$B$7</f>
        <v>45</v>
      </c>
      <c r="L5" s="18" t="n">
        <f aca="false">SUM(H5:K5)+'Haul Data'!N5</f>
        <v>277.625</v>
      </c>
      <c r="M5" s="18" t="n">
        <f aca="false">IFERROR(L5/E5,"check miles")</f>
        <v>2.89192708333333</v>
      </c>
      <c r="N5" s="18" t="n">
        <f aca="false">IFERROR(L5/G5,"no volume")</f>
        <v>81.6544117647059</v>
      </c>
      <c r="O5" s="15" t="str">
        <f aca="false">IF(F5=0,"Zero board feet",IF('Haul Data'!K5="","Missing fuel",IF('Haul Data'!J5&gt;Assumptions!$B$8,"Driving-hours screening flag",IF('Haul Data'!E5&lt;Assumptions!$B$9,"Miles look wrong","OK"))))</f>
        <v>OK</v>
      </c>
    </row>
    <row r="6" customFormat="false" ht="15" hidden="false" customHeight="true" outlineLevel="0" collapsed="false">
      <c r="A6" s="15" t="str">
        <f aca="false">'Haul Data'!A6</f>
        <v>HL-1005</v>
      </c>
      <c r="B6" s="15" t="str">
        <f aca="false">'Haul Data'!D6</f>
        <v>Mattoon</v>
      </c>
      <c r="C6" s="15" t="str">
        <f aca="false">'Haul Data'!F6</f>
        <v>Basswood</v>
      </c>
      <c r="D6" s="15" t="str">
        <f aca="false">'Haul Data'!G6</f>
        <v>3AC</v>
      </c>
      <c r="E6" s="15" t="n">
        <f aca="false">'Haul Data'!E6*Assumptions!$B$5</f>
        <v>32</v>
      </c>
      <c r="F6" s="15" t="n">
        <f aca="false">'Haul Data'!H6</f>
        <v>5800</v>
      </c>
      <c r="G6" s="17" t="n">
        <f aca="false">F6/1000</f>
        <v>5.8</v>
      </c>
      <c r="H6" s="18" t="n">
        <f aca="false">IFERROR('Haul Data'!K6*'Haul Data'!L6,0)</f>
        <v>29.376</v>
      </c>
      <c r="I6" s="18" t="n">
        <f aca="false">IFERROR('Haul Data'!J6*'Haul Data'!M6,0)</f>
        <v>65.265</v>
      </c>
      <c r="J6" s="18" t="n">
        <f aca="false">E6*Assumptions!$B$6</f>
        <v>19.84</v>
      </c>
      <c r="K6" s="18" t="n">
        <f aca="false">Assumptions!$B$7</f>
        <v>45</v>
      </c>
      <c r="L6" s="18" t="n">
        <f aca="false">SUM(H6:K6)+'Haul Data'!N6</f>
        <v>184.481</v>
      </c>
      <c r="M6" s="18" t="n">
        <f aca="false">IFERROR(L6/E6,"check miles")</f>
        <v>5.76503125</v>
      </c>
      <c r="N6" s="18" t="n">
        <f aca="false">IFERROR(L6/G6,"no volume")</f>
        <v>31.8070689655172</v>
      </c>
      <c r="O6" s="15" t="str">
        <f aca="false">IF(F6=0,"Zero board feet",IF('Haul Data'!K6="","Missing fuel",IF('Haul Data'!J6&gt;Assumptions!$B$8,"Driving-hours screening flag",IF('Haul Data'!E6&lt;Assumptions!$B$9,"Miles look wrong","OK"))))</f>
        <v>OK</v>
      </c>
    </row>
    <row r="7" customFormat="false" ht="15" hidden="false" customHeight="true" outlineLevel="0" collapsed="false">
      <c r="A7" s="15" t="str">
        <f aca="false">'Haul Data'!A7</f>
        <v>HL-1006</v>
      </c>
      <c r="B7" s="15" t="str">
        <f aca="false">'Haul Data'!D7</f>
        <v>Elcho</v>
      </c>
      <c r="C7" s="15" t="str">
        <f aca="false">'Haul Data'!F7</f>
        <v>Basswood</v>
      </c>
      <c r="D7" s="15" t="str">
        <f aca="false">'Haul Data'!G7</f>
        <v>F1F</v>
      </c>
      <c r="E7" s="15" t="n">
        <f aca="false">'Haul Data'!E7*Assumptions!$B$5</f>
        <v>36</v>
      </c>
      <c r="F7" s="15" t="n">
        <f aca="false">'Haul Data'!H7</f>
        <v>7000</v>
      </c>
      <c r="G7" s="17" t="n">
        <f aca="false">F7/1000</f>
        <v>7</v>
      </c>
      <c r="H7" s="18" t="n">
        <f aca="false">IFERROR('Haul Data'!K7*'Haul Data'!L7,0)</f>
        <v>35.346</v>
      </c>
      <c r="I7" s="18" t="n">
        <f aca="false">IFERROR('Haul Data'!J7*'Haul Data'!M7,0)</f>
        <v>55.18</v>
      </c>
      <c r="J7" s="18" t="n">
        <f aca="false">E7*Assumptions!$B$6</f>
        <v>22.32</v>
      </c>
      <c r="K7" s="18" t="n">
        <f aca="false">Assumptions!$B$7</f>
        <v>45</v>
      </c>
      <c r="L7" s="18" t="n">
        <f aca="false">SUM(H7:K7)+'Haul Data'!N7</f>
        <v>172.846</v>
      </c>
      <c r="M7" s="18" t="n">
        <f aca="false">IFERROR(L7/E7,"check miles")</f>
        <v>4.80127777777778</v>
      </c>
      <c r="N7" s="18" t="n">
        <f aca="false">IFERROR(L7/G7,"no volume")</f>
        <v>24.6922857142857</v>
      </c>
      <c r="O7" s="15" t="str">
        <f aca="false">IF(F7=0,"Zero board feet",IF('Haul Data'!K7="","Missing fuel",IF('Haul Data'!J7&gt;Assumptions!$B$8,"Driving-hours screening flag",IF('Haul Data'!E7&lt;Assumptions!$B$9,"Miles look wrong","OK"))))</f>
        <v>OK</v>
      </c>
    </row>
    <row r="8" customFormat="false" ht="15" hidden="false" customHeight="true" outlineLevel="0" collapsed="false">
      <c r="A8" s="15" t="str">
        <f aca="false">'Haul Data'!A8</f>
        <v>HL-1007</v>
      </c>
      <c r="B8" s="15" t="str">
        <f aca="false">'Haul Data'!D8</f>
        <v>Shawano</v>
      </c>
      <c r="C8" s="15" t="str">
        <f aca="false">'Haul Data'!F8</f>
        <v>Aspen</v>
      </c>
      <c r="D8" s="15" t="str">
        <f aca="false">'Haul Data'!G8</f>
        <v>F1F</v>
      </c>
      <c r="E8" s="15" t="n">
        <f aca="false">'Haul Data'!E8*Assumptions!$B$5</f>
        <v>96</v>
      </c>
      <c r="F8" s="15" t="n">
        <f aca="false">'Haul Data'!H8</f>
        <v>0</v>
      </c>
      <c r="G8" s="17" t="n">
        <f aca="false">F8/1000</f>
        <v>0</v>
      </c>
      <c r="H8" s="18" t="n">
        <f aca="false">IFERROR('Haul Data'!K8*'Haul Data'!L8,0)</f>
        <v>76.179</v>
      </c>
      <c r="I8" s="18" t="n">
        <f aca="false">IFERROR('Haul Data'!J8*'Haul Data'!M8,0)</f>
        <v>96.9</v>
      </c>
      <c r="J8" s="18" t="n">
        <f aca="false">E8*Assumptions!$B$6</f>
        <v>59.52</v>
      </c>
      <c r="K8" s="18" t="n">
        <f aca="false">Assumptions!$B$7</f>
        <v>45</v>
      </c>
      <c r="L8" s="18" t="n">
        <f aca="false">SUM(H8:K8)+'Haul Data'!N8</f>
        <v>277.599</v>
      </c>
      <c r="M8" s="18" t="n">
        <f aca="false">IFERROR(L8/E8,"check miles")</f>
        <v>2.89165625</v>
      </c>
      <c r="N8" s="18" t="str">
        <f aca="false">IFERROR(L8/G8,"no volume")</f>
        <v>no volume</v>
      </c>
      <c r="O8" s="15" t="str">
        <f aca="false">IF(F8=0,"Zero board feet",IF('Haul Data'!K8="","Missing fuel",IF('Haul Data'!J8&gt;Assumptions!$B$8,"Driving-hours screening flag",IF('Haul Data'!E8&lt;Assumptions!$B$9,"Miles look wrong","OK"))))</f>
        <v>Zero board feet</v>
      </c>
    </row>
    <row r="9" customFormat="false" ht="15" hidden="false" customHeight="true" outlineLevel="0" collapsed="false">
      <c r="A9" s="15" t="str">
        <f aca="false">'Haul Data'!A9</f>
        <v>HL-1008</v>
      </c>
      <c r="B9" s="15" t="str">
        <f aca="false">'Haul Data'!D9</f>
        <v>Wittenberg</v>
      </c>
      <c r="C9" s="15" t="str">
        <f aca="false">'Haul Data'!F9</f>
        <v>Hard Maple</v>
      </c>
      <c r="D9" s="15" t="str">
        <f aca="false">'Haul Data'!G9</f>
        <v>F1F</v>
      </c>
      <c r="E9" s="15" t="n">
        <f aca="false">'Haul Data'!E9*Assumptions!$B$5</f>
        <v>60</v>
      </c>
      <c r="F9" s="15" t="n">
        <f aca="false">'Haul Data'!H9</f>
        <v>4100</v>
      </c>
      <c r="G9" s="17" t="n">
        <f aca="false">F9/1000</f>
        <v>4.1</v>
      </c>
      <c r="H9" s="18" t="n">
        <f aca="false">IFERROR('Haul Data'!K9*'Haul Data'!L9,0)</f>
        <v>44.64</v>
      </c>
      <c r="I9" s="18" t="n">
        <f aca="false">IFERROR('Haul Data'!J9*'Haul Data'!M9,0)</f>
        <v>80.29</v>
      </c>
      <c r="J9" s="18" t="n">
        <f aca="false">E9*Assumptions!$B$6</f>
        <v>37.2</v>
      </c>
      <c r="K9" s="18" t="n">
        <f aca="false">Assumptions!$B$7</f>
        <v>45</v>
      </c>
      <c r="L9" s="18" t="n">
        <f aca="false">SUM(H9:K9)+'Haul Data'!N9</f>
        <v>247.13</v>
      </c>
      <c r="M9" s="18" t="n">
        <f aca="false">IFERROR(L9/E9,"check miles")</f>
        <v>4.11883333333333</v>
      </c>
      <c r="N9" s="18" t="n">
        <f aca="false">IFERROR(L9/G9,"no volume")</f>
        <v>60.2756097560976</v>
      </c>
      <c r="O9" s="15" t="str">
        <f aca="false">IF(F9=0,"Zero board feet",IF('Haul Data'!K9="","Missing fuel",IF('Haul Data'!J9&gt;Assumptions!$B$8,"Driving-hours screening flag",IF('Haul Data'!E9&lt;Assumptions!$B$9,"Miles look wrong","OK"))))</f>
        <v>OK</v>
      </c>
    </row>
    <row r="10" customFormat="false" ht="15" hidden="false" customHeight="true" outlineLevel="0" collapsed="false">
      <c r="A10" s="15" t="str">
        <f aca="false">'Haul Data'!A10</f>
        <v>HL-1009</v>
      </c>
      <c r="B10" s="15" t="str">
        <f aca="false">'Haul Data'!D10</f>
        <v>Eagle River</v>
      </c>
      <c r="C10" s="15" t="str">
        <f aca="false">'Haul Data'!F10</f>
        <v>White Ash</v>
      </c>
      <c r="D10" s="15" t="str">
        <f aca="false">'Haul Data'!G10</f>
        <v>F1F</v>
      </c>
      <c r="E10" s="15" t="n">
        <f aca="false">'Haul Data'!E10*Assumptions!$B$5</f>
        <v>124</v>
      </c>
      <c r="F10" s="15" t="n">
        <f aca="false">'Haul Data'!H10</f>
        <v>5200</v>
      </c>
      <c r="G10" s="17" t="n">
        <f aca="false">F10/1000</f>
        <v>5.2</v>
      </c>
      <c r="H10" s="18" t="n">
        <f aca="false">IFERROR('Haul Data'!K10*'Haul Data'!L10,0)</f>
        <v>94.94</v>
      </c>
      <c r="I10" s="18" t="n">
        <f aca="false">IFERROR('Haul Data'!J10*'Haul Data'!M10,0)</f>
        <v>108.81</v>
      </c>
      <c r="J10" s="18" t="n">
        <f aca="false">E10*Assumptions!$B$6</f>
        <v>76.88</v>
      </c>
      <c r="K10" s="18" t="n">
        <f aca="false">Assumptions!$B$7</f>
        <v>45</v>
      </c>
      <c r="L10" s="18" t="n">
        <f aca="false">SUM(H10:K10)+'Haul Data'!N10</f>
        <v>365.63</v>
      </c>
      <c r="M10" s="18" t="n">
        <f aca="false">IFERROR(L10/E10,"check miles")</f>
        <v>2.94862903225806</v>
      </c>
      <c r="N10" s="18" t="n">
        <f aca="false">IFERROR(L10/G10,"no volume")</f>
        <v>70.3134615384615</v>
      </c>
      <c r="O10" s="15" t="str">
        <f aca="false">IF(F10=0,"Zero board feet",IF('Haul Data'!K10="","Missing fuel",IF('Haul Data'!J10&gt;Assumptions!$B$8,"Driving-hours screening flag",IF('Haul Data'!E10&lt;Assumptions!$B$9,"Miles look wrong","OK"))))</f>
        <v>OK</v>
      </c>
    </row>
    <row r="11" customFormat="false" ht="15" hidden="false" customHeight="true" outlineLevel="0" collapsed="false">
      <c r="A11" s="15" t="str">
        <f aca="false">'Haul Data'!A11</f>
        <v>HL-1010</v>
      </c>
      <c r="B11" s="15" t="str">
        <f aca="false">'Haul Data'!D11</f>
        <v>Stevens Point</v>
      </c>
      <c r="C11" s="15" t="str">
        <f aca="false">'Haul Data'!F11</f>
        <v>Aspen</v>
      </c>
      <c r="D11" s="15" t="str">
        <f aca="false">'Haul Data'!G11</f>
        <v>1C</v>
      </c>
      <c r="E11" s="15" t="n">
        <f aca="false">'Haul Data'!E11*Assumptions!$B$5</f>
        <v>152</v>
      </c>
      <c r="F11" s="15" t="n">
        <f aca="false">'Haul Data'!H11</f>
        <v>6300</v>
      </c>
      <c r="G11" s="17" t="n">
        <f aca="false">F11/1000</f>
        <v>6.3</v>
      </c>
      <c r="H11" s="18" t="n">
        <f aca="false">IFERROR('Haul Data'!K11*'Haul Data'!L11,0)</f>
        <v>118.656</v>
      </c>
      <c r="I11" s="18" t="n">
        <f aca="false">IFERROR('Haul Data'!J11*'Haul Data'!M11,0)</f>
        <v>116.25</v>
      </c>
      <c r="J11" s="18" t="n">
        <f aca="false">E11*Assumptions!$B$6</f>
        <v>94.24</v>
      </c>
      <c r="K11" s="18" t="n">
        <f aca="false">Assumptions!$B$7</f>
        <v>45</v>
      </c>
      <c r="L11" s="18" t="n">
        <f aca="false">SUM(H11:K11)+'Haul Data'!N11</f>
        <v>374.146</v>
      </c>
      <c r="M11" s="18" t="n">
        <f aca="false">IFERROR(L11/E11,"check miles")</f>
        <v>2.46148684210526</v>
      </c>
      <c r="N11" s="18" t="n">
        <f aca="false">IFERROR(L11/G11,"no volume")</f>
        <v>59.388253968254</v>
      </c>
      <c r="O11" s="15" t="str">
        <f aca="false">IF(F11=0,"Zero board feet",IF('Haul Data'!K11="","Missing fuel",IF('Haul Data'!J11&gt;Assumptions!$B$8,"Driving-hours screening flag",IF('Haul Data'!E11&lt;Assumptions!$B$9,"Miles look wrong","OK"))))</f>
        <v>OK</v>
      </c>
    </row>
    <row r="12" customFormat="false" ht="15" hidden="false" customHeight="true" outlineLevel="0" collapsed="false">
      <c r="A12" s="15" t="str">
        <f aca="false">'Haul Data'!A12</f>
        <v>HL-1011</v>
      </c>
      <c r="B12" s="15" t="str">
        <f aca="false">'Haul Data'!D12</f>
        <v>Wausau</v>
      </c>
      <c r="C12" s="15" t="str">
        <f aca="false">'Haul Data'!F12</f>
        <v>Basswood</v>
      </c>
      <c r="D12" s="15" t="str">
        <f aca="false">'Haul Data'!G12</f>
        <v>1C</v>
      </c>
      <c r="E12" s="15" t="n">
        <f aca="false">'Haul Data'!E12*Assumptions!$B$5</f>
        <v>84</v>
      </c>
      <c r="F12" s="15" t="n">
        <f aca="false">'Haul Data'!H12</f>
        <v>3400</v>
      </c>
      <c r="G12" s="17" t="n">
        <f aca="false">F12/1000</f>
        <v>3.4</v>
      </c>
      <c r="H12" s="18" t="n">
        <f aca="false">IFERROR('Haul Data'!K12*'Haul Data'!L12,0)</f>
        <v>73.15</v>
      </c>
      <c r="I12" s="18" t="n">
        <f aca="false">IFERROR('Haul Data'!J12*'Haul Data'!M12,0)</f>
        <v>77.6475</v>
      </c>
      <c r="J12" s="18" t="n">
        <f aca="false">E12*Assumptions!$B$6</f>
        <v>52.08</v>
      </c>
      <c r="K12" s="18" t="n">
        <f aca="false">Assumptions!$B$7</f>
        <v>45</v>
      </c>
      <c r="L12" s="18" t="n">
        <f aca="false">SUM(H12:K12)+'Haul Data'!N12</f>
        <v>262.8775</v>
      </c>
      <c r="M12" s="18" t="n">
        <f aca="false">IFERROR(L12/E12,"check miles")</f>
        <v>3.12949404761905</v>
      </c>
      <c r="N12" s="18" t="n">
        <f aca="false">IFERROR(L12/G12,"no volume")</f>
        <v>77.3169117647059</v>
      </c>
      <c r="O12" s="15" t="str">
        <f aca="false">IF(F12=0,"Zero board feet",IF('Haul Data'!K12="","Missing fuel",IF('Haul Data'!J12&gt;Assumptions!$B$8,"Driving-hours screening flag",IF('Haul Data'!E12&lt;Assumptions!$B$9,"Miles look wrong","OK"))))</f>
        <v>OK</v>
      </c>
    </row>
    <row r="13" customFormat="false" ht="15" hidden="false" customHeight="true" outlineLevel="0" collapsed="false">
      <c r="A13" s="15" t="str">
        <f aca="false">'Haul Data'!A13</f>
        <v>HL-1012</v>
      </c>
      <c r="B13" s="15" t="str">
        <f aca="false">'Haul Data'!D13</f>
        <v>Aniwa</v>
      </c>
      <c r="C13" s="15" t="str">
        <f aca="false">'Haul Data'!F13</f>
        <v>Red Oak</v>
      </c>
      <c r="D13" s="15" t="str">
        <f aca="false">'Haul Data'!G13</f>
        <v>Select</v>
      </c>
      <c r="E13" s="15" t="n">
        <f aca="false">'Haul Data'!E13*Assumptions!$B$5</f>
        <v>48</v>
      </c>
      <c r="F13" s="15" t="n">
        <f aca="false">'Haul Data'!H13</f>
        <v>6300</v>
      </c>
      <c r="G13" s="17" t="n">
        <f aca="false">F13/1000</f>
        <v>6.3</v>
      </c>
      <c r="H13" s="18" t="n">
        <f aca="false">IFERROR('Haul Data'!K13*'Haul Data'!L13,0)</f>
        <v>48.19</v>
      </c>
      <c r="I13" s="18" t="n">
        <f aca="false">IFERROR('Haul Data'!J13*'Haul Data'!M13,0)</f>
        <v>70.68</v>
      </c>
      <c r="J13" s="18" t="n">
        <f aca="false">E13*Assumptions!$B$6</f>
        <v>29.76</v>
      </c>
      <c r="K13" s="18" t="n">
        <f aca="false">Assumptions!$B$7</f>
        <v>45</v>
      </c>
      <c r="L13" s="18" t="n">
        <f aca="false">SUM(H13:K13)+'Haul Data'!N13</f>
        <v>193.63</v>
      </c>
      <c r="M13" s="18" t="n">
        <f aca="false">IFERROR(L13/E13,"check miles")</f>
        <v>4.03395833333333</v>
      </c>
      <c r="N13" s="18" t="n">
        <f aca="false">IFERROR(L13/G13,"no volume")</f>
        <v>30.7349206349206</v>
      </c>
      <c r="O13" s="15" t="str">
        <f aca="false">IF(F13=0,"Zero board feet",IF('Haul Data'!K13="","Missing fuel",IF('Haul Data'!J13&gt;Assumptions!$B$8,"Driving-hours screening flag",IF('Haul Data'!E13&lt;Assumptions!$B$9,"Miles look wrong","OK"))))</f>
        <v>OK</v>
      </c>
    </row>
    <row r="14" customFormat="false" ht="15" hidden="false" customHeight="true" outlineLevel="0" collapsed="false">
      <c r="A14" s="15" t="str">
        <f aca="false">'Haul Data'!A14</f>
        <v>HL-1013</v>
      </c>
      <c r="B14" s="15" t="str">
        <f aca="false">'Haul Data'!D14</f>
        <v>Elcho</v>
      </c>
      <c r="C14" s="15" t="str">
        <f aca="false">'Haul Data'!F14</f>
        <v>Red Oak</v>
      </c>
      <c r="D14" s="15" t="str">
        <f aca="false">'Haul Data'!G14</f>
        <v>FAS</v>
      </c>
      <c r="E14" s="15" t="n">
        <f aca="false">'Haul Data'!E14*Assumptions!$B$5</f>
        <v>36</v>
      </c>
      <c r="F14" s="15" t="n">
        <f aca="false">'Haul Data'!H14</f>
        <v>7000</v>
      </c>
      <c r="G14" s="17" t="n">
        <f aca="false">F14/1000</f>
        <v>7</v>
      </c>
      <c r="H14" s="18" t="n">
        <f aca="false">IFERROR('Haul Data'!K14*'Haul Data'!L14,0)</f>
        <v>37.422</v>
      </c>
      <c r="I14" s="18" t="n">
        <f aca="false">IFERROR('Haul Data'!J14*'Haul Data'!M14,0)</f>
        <v>50.445</v>
      </c>
      <c r="J14" s="18" t="n">
        <f aca="false">E14*Assumptions!$B$6</f>
        <v>22.32</v>
      </c>
      <c r="K14" s="18" t="n">
        <f aca="false">Assumptions!$B$7</f>
        <v>45</v>
      </c>
      <c r="L14" s="18" t="n">
        <f aca="false">SUM(H14:K14)+'Haul Data'!N14</f>
        <v>170.187</v>
      </c>
      <c r="M14" s="18" t="n">
        <f aca="false">IFERROR(L14/E14,"check miles")</f>
        <v>4.72741666666667</v>
      </c>
      <c r="N14" s="18" t="n">
        <f aca="false">IFERROR(L14/G14,"no volume")</f>
        <v>24.3124285714286</v>
      </c>
      <c r="O14" s="15" t="str">
        <f aca="false">IF(F14=0,"Zero board feet",IF('Haul Data'!K14="","Missing fuel",IF('Haul Data'!J14&gt;Assumptions!$B$8,"Driving-hours screening flag",IF('Haul Data'!E14&lt;Assumptions!$B$9,"Miles look wrong","OK"))))</f>
        <v>OK</v>
      </c>
    </row>
    <row r="15" customFormat="false" ht="15" hidden="false" customHeight="true" outlineLevel="0" collapsed="false">
      <c r="A15" s="15" t="str">
        <f aca="false">'Haul Data'!A15</f>
        <v>HL-1014</v>
      </c>
      <c r="B15" s="15" t="str">
        <f aca="false">'Haul Data'!D15</f>
        <v>Crandon</v>
      </c>
      <c r="C15" s="15" t="str">
        <f aca="false">'Haul Data'!F15</f>
        <v>Red Oak</v>
      </c>
      <c r="D15" s="15" t="str">
        <f aca="false">'Haul Data'!G15</f>
        <v>2AC</v>
      </c>
      <c r="E15" s="15" t="n">
        <f aca="false">'Haul Data'!E15*Assumptions!$B$5</f>
        <v>88</v>
      </c>
      <c r="F15" s="15" t="n">
        <f aca="false">'Haul Data'!H15</f>
        <v>2800</v>
      </c>
      <c r="G15" s="17" t="n">
        <f aca="false">F15/1000</f>
        <v>2.8</v>
      </c>
      <c r="H15" s="18" t="n">
        <f aca="false">IFERROR('Haul Data'!K15*'Haul Data'!L15,0)</f>
        <v>0</v>
      </c>
      <c r="I15" s="18" t="n">
        <f aca="false">IFERROR('Haul Data'!J15*'Haul Data'!M15,0)</f>
        <v>79.135</v>
      </c>
      <c r="J15" s="18" t="n">
        <f aca="false">E15*Assumptions!$B$6</f>
        <v>54.56</v>
      </c>
      <c r="K15" s="18" t="n">
        <f aca="false">Assumptions!$B$7</f>
        <v>45</v>
      </c>
      <c r="L15" s="18" t="n">
        <f aca="false">SUM(H15:K15)+'Haul Data'!N15</f>
        <v>218.695</v>
      </c>
      <c r="M15" s="18" t="n">
        <f aca="false">IFERROR(L15/E15,"check miles")</f>
        <v>2.48517045454545</v>
      </c>
      <c r="N15" s="18" t="n">
        <f aca="false">IFERROR(L15/G15,"no volume")</f>
        <v>78.1053571428571</v>
      </c>
      <c r="O15" s="15" t="str">
        <f aca="false">IF(F15=0,"Zero board feet",IF('Haul Data'!K15="","Missing fuel",IF('Haul Data'!J15&gt;Assumptions!$B$8,"Driving-hours screening flag",IF('Haul Data'!E15&lt;Assumptions!$B$9,"Miles look wrong","OK"))))</f>
        <v>Missing fuel</v>
      </c>
    </row>
    <row r="16" customFormat="false" ht="15" hidden="false" customHeight="true" outlineLevel="0" collapsed="false">
      <c r="A16" s="15" t="str">
        <f aca="false">'Haul Data'!A16</f>
        <v>HL-1015</v>
      </c>
      <c r="B16" s="15" t="str">
        <f aca="false">'Haul Data'!D16</f>
        <v>Wittenberg</v>
      </c>
      <c r="C16" s="15" t="str">
        <f aca="false">'Haul Data'!F16</f>
        <v>Aspen</v>
      </c>
      <c r="D16" s="15" t="str">
        <f aca="false">'Haul Data'!G16</f>
        <v>3AC</v>
      </c>
      <c r="E16" s="15" t="n">
        <f aca="false">'Haul Data'!E16*Assumptions!$B$5</f>
        <v>60</v>
      </c>
      <c r="F16" s="15" t="n">
        <f aca="false">'Haul Data'!H16</f>
        <v>7000</v>
      </c>
      <c r="G16" s="17" t="n">
        <f aca="false">F16/1000</f>
        <v>7</v>
      </c>
      <c r="H16" s="18" t="n">
        <f aca="false">IFERROR('Haul Data'!K16*'Haul Data'!L16,0)</f>
        <v>54.672</v>
      </c>
      <c r="I16" s="18" t="n">
        <f aca="false">IFERROR('Haul Data'!J16*'Haul Data'!M16,0)</f>
        <v>67.83</v>
      </c>
      <c r="J16" s="18" t="n">
        <f aca="false">E16*Assumptions!$B$6</f>
        <v>37.2</v>
      </c>
      <c r="K16" s="18" t="n">
        <f aca="false">Assumptions!$B$7</f>
        <v>45</v>
      </c>
      <c r="L16" s="18" t="n">
        <f aca="false">SUM(H16:K16)+'Haul Data'!N16</f>
        <v>219.702</v>
      </c>
      <c r="M16" s="18" t="n">
        <f aca="false">IFERROR(L16/E16,"check miles")</f>
        <v>3.6617</v>
      </c>
      <c r="N16" s="18" t="n">
        <f aca="false">IFERROR(L16/G16,"no volume")</f>
        <v>31.386</v>
      </c>
      <c r="O16" s="15" t="str">
        <f aca="false">IF(F16=0,"Zero board feet",IF('Haul Data'!K16="","Missing fuel",IF('Haul Data'!J16&gt;Assumptions!$B$8,"Driving-hours screening flag",IF('Haul Data'!E16&lt;Assumptions!$B$9,"Miles look wrong","OK"))))</f>
        <v>OK</v>
      </c>
    </row>
    <row r="17" customFormat="false" ht="15" hidden="false" customHeight="true" outlineLevel="0" collapsed="false">
      <c r="A17" s="15" t="str">
        <f aca="false">'Haul Data'!A17</f>
        <v>HL-1016</v>
      </c>
      <c r="B17" s="15" t="str">
        <f aca="false">'Haul Data'!D17</f>
        <v>Elcho</v>
      </c>
      <c r="C17" s="15" t="str">
        <f aca="false">'Haul Data'!F17</f>
        <v>Hard Maple</v>
      </c>
      <c r="D17" s="15" t="str">
        <f aca="false">'Haul Data'!G17</f>
        <v>Select</v>
      </c>
      <c r="E17" s="15" t="n">
        <f aca="false">'Haul Data'!E17*Assumptions!$B$5</f>
        <v>36</v>
      </c>
      <c r="F17" s="15" t="n">
        <f aca="false">'Haul Data'!H17</f>
        <v>2800</v>
      </c>
      <c r="G17" s="17" t="n">
        <f aca="false">F17/1000</f>
        <v>2.8</v>
      </c>
      <c r="H17" s="18" t="n">
        <f aca="false">IFERROR('Haul Data'!K17*'Haul Data'!L17,0)</f>
        <v>30.81</v>
      </c>
      <c r="I17" s="18" t="n">
        <f aca="false">IFERROR('Haul Data'!J17*'Haul Data'!M17,0)</f>
        <v>51.46</v>
      </c>
      <c r="J17" s="18" t="n">
        <f aca="false">E17*Assumptions!$B$6</f>
        <v>22.32</v>
      </c>
      <c r="K17" s="18" t="n">
        <f aca="false">Assumptions!$B$7</f>
        <v>45</v>
      </c>
      <c r="L17" s="18" t="n">
        <f aca="false">SUM(H17:K17)+'Haul Data'!N17</f>
        <v>149.59</v>
      </c>
      <c r="M17" s="18" t="n">
        <f aca="false">IFERROR(L17/E17,"check miles")</f>
        <v>4.15527777777778</v>
      </c>
      <c r="N17" s="18" t="n">
        <f aca="false">IFERROR(L17/G17,"no volume")</f>
        <v>53.425</v>
      </c>
      <c r="O17" s="15" t="str">
        <f aca="false">IF(F17=0,"Zero board feet",IF('Haul Data'!K17="","Missing fuel",IF('Haul Data'!J17&gt;Assumptions!$B$8,"Driving-hours screening flag",IF('Haul Data'!E17&lt;Assumptions!$B$9,"Miles look wrong","OK"))))</f>
        <v>OK</v>
      </c>
    </row>
    <row r="18" customFormat="false" ht="15" hidden="false" customHeight="true" outlineLevel="0" collapsed="false">
      <c r="A18" s="15" t="str">
        <f aca="false">'Haul Data'!A18</f>
        <v>HL-1017</v>
      </c>
      <c r="B18" s="15" t="str">
        <f aca="false">'Haul Data'!D18</f>
        <v>Shawano</v>
      </c>
      <c r="C18" s="15" t="str">
        <f aca="false">'Haul Data'!F18</f>
        <v>Red Oak</v>
      </c>
      <c r="D18" s="15" t="str">
        <f aca="false">'Haul Data'!G18</f>
        <v>2AC</v>
      </c>
      <c r="E18" s="15" t="n">
        <f aca="false">'Haul Data'!E18*Assumptions!$B$5</f>
        <v>96</v>
      </c>
      <c r="F18" s="15" t="n">
        <f aca="false">'Haul Data'!H18</f>
        <v>2800</v>
      </c>
      <c r="G18" s="17" t="n">
        <f aca="false">F18/1000</f>
        <v>2.8</v>
      </c>
      <c r="H18" s="18" t="n">
        <f aca="false">IFERROR('Haul Data'!K18*'Haul Data'!L18,0)</f>
        <v>71.225</v>
      </c>
      <c r="I18" s="18" t="n">
        <f aca="false">IFERROR('Haul Data'!J18*'Haul Data'!M18,0)</f>
        <v>82.11</v>
      </c>
      <c r="J18" s="18" t="n">
        <f aca="false">E18*Assumptions!$B$6</f>
        <v>59.52</v>
      </c>
      <c r="K18" s="18" t="n">
        <f aca="false">Assumptions!$B$7</f>
        <v>45</v>
      </c>
      <c r="L18" s="18" t="n">
        <f aca="false">SUM(H18:K18)+'Haul Data'!N18</f>
        <v>282.855</v>
      </c>
      <c r="M18" s="18" t="n">
        <f aca="false">IFERROR(L18/E18,"check miles")</f>
        <v>2.94640625</v>
      </c>
      <c r="N18" s="18" t="n">
        <f aca="false">IFERROR(L18/G18,"no volume")</f>
        <v>101.019642857143</v>
      </c>
      <c r="O18" s="15" t="str">
        <f aca="false">IF(F18=0,"Zero board feet",IF('Haul Data'!K18="","Missing fuel",IF('Haul Data'!J18&gt;Assumptions!$B$8,"Driving-hours screening flag",IF('Haul Data'!E18&lt;Assumptions!$B$9,"Miles look wrong","OK"))))</f>
        <v>OK</v>
      </c>
    </row>
    <row r="19" customFormat="false" ht="15" hidden="false" customHeight="true" outlineLevel="0" collapsed="false">
      <c r="A19" s="15" t="str">
        <f aca="false">'Haul Data'!A19</f>
        <v>HL-1018</v>
      </c>
      <c r="B19" s="15" t="str">
        <f aca="false">'Haul Data'!D19</f>
        <v>Elcho</v>
      </c>
      <c r="C19" s="15" t="str">
        <f aca="false">'Haul Data'!F19</f>
        <v>Soft Maple</v>
      </c>
      <c r="D19" s="15" t="str">
        <f aca="false">'Haul Data'!G19</f>
        <v>1C</v>
      </c>
      <c r="E19" s="15" t="n">
        <f aca="false">'Haul Data'!E19*Assumptions!$B$5</f>
        <v>36</v>
      </c>
      <c r="F19" s="15" t="n">
        <f aca="false">'Haul Data'!H19</f>
        <v>4600</v>
      </c>
      <c r="G19" s="17" t="n">
        <f aca="false">F19/1000</f>
        <v>4.6</v>
      </c>
      <c r="H19" s="18" t="n">
        <f aca="false">IFERROR('Haul Data'!K19*'Haul Data'!L19,0)</f>
        <v>38.76</v>
      </c>
      <c r="I19" s="18" t="n">
        <f aca="false">IFERROR('Haul Data'!J19*'Haul Data'!M19,0)</f>
        <v>66.64</v>
      </c>
      <c r="J19" s="18" t="n">
        <f aca="false">E19*Assumptions!$B$6</f>
        <v>22.32</v>
      </c>
      <c r="K19" s="18" t="n">
        <f aca="false">Assumptions!$B$7</f>
        <v>45</v>
      </c>
      <c r="L19" s="18" t="n">
        <f aca="false">SUM(H19:K19)+'Haul Data'!N19</f>
        <v>172.72</v>
      </c>
      <c r="M19" s="18" t="n">
        <f aca="false">IFERROR(L19/E19,"check miles")</f>
        <v>4.79777777777778</v>
      </c>
      <c r="N19" s="18" t="n">
        <f aca="false">IFERROR(L19/G19,"no volume")</f>
        <v>37.5478260869565</v>
      </c>
      <c r="O19" s="15" t="str">
        <f aca="false">IF(F19=0,"Zero board feet",IF('Haul Data'!K19="","Missing fuel",IF('Haul Data'!J19&gt;Assumptions!$B$8,"Driving-hours screening flag",IF('Haul Data'!E19&lt;Assumptions!$B$9,"Miles look wrong","OK"))))</f>
        <v>OK</v>
      </c>
    </row>
    <row r="20" customFormat="false" ht="15" hidden="false" customHeight="true" outlineLevel="0" collapsed="false">
      <c r="A20" s="15" t="str">
        <f aca="false">'Haul Data'!A20</f>
        <v>HL-1019</v>
      </c>
      <c r="B20" s="15" t="str">
        <f aca="false">'Haul Data'!D20</f>
        <v>Crandon</v>
      </c>
      <c r="C20" s="15" t="str">
        <f aca="false">'Haul Data'!F20</f>
        <v>White Ash</v>
      </c>
      <c r="D20" s="15" t="str">
        <f aca="false">'Haul Data'!G20</f>
        <v>3AC</v>
      </c>
      <c r="E20" s="15" t="n">
        <f aca="false">'Haul Data'!E20*Assumptions!$B$5</f>
        <v>88</v>
      </c>
      <c r="F20" s="15" t="n">
        <f aca="false">'Haul Data'!H20</f>
        <v>4100</v>
      </c>
      <c r="G20" s="17" t="n">
        <f aca="false">F20/1000</f>
        <v>4.1</v>
      </c>
      <c r="H20" s="18" t="n">
        <f aca="false">IFERROR('Haul Data'!K20*'Haul Data'!L20,0)</f>
        <v>71.392</v>
      </c>
      <c r="I20" s="18" t="n">
        <f aca="false">IFERROR('Haul Data'!J20*'Haul Data'!M20,0)</f>
        <v>92.07</v>
      </c>
      <c r="J20" s="18" t="n">
        <f aca="false">E20*Assumptions!$B$6</f>
        <v>54.56</v>
      </c>
      <c r="K20" s="18" t="n">
        <f aca="false">Assumptions!$B$7</f>
        <v>45</v>
      </c>
      <c r="L20" s="18" t="n">
        <f aca="false">SUM(H20:K20)+'Haul Data'!N20</f>
        <v>288.022</v>
      </c>
      <c r="M20" s="18" t="n">
        <f aca="false">IFERROR(L20/E20,"check miles")</f>
        <v>3.27297727272727</v>
      </c>
      <c r="N20" s="18" t="n">
        <f aca="false">IFERROR(L20/G20,"no volume")</f>
        <v>70.2492682926829</v>
      </c>
      <c r="O20" s="15" t="str">
        <f aca="false">IF(F20=0,"Zero board feet",IF('Haul Data'!K20="","Missing fuel",IF('Haul Data'!J20&gt;Assumptions!$B$8,"Driving-hours screening flag",IF('Haul Data'!E20&lt;Assumptions!$B$9,"Miles look wrong","OK"))))</f>
        <v>OK</v>
      </c>
    </row>
    <row r="21" customFormat="false" ht="15" hidden="false" customHeight="true" outlineLevel="0" collapsed="false">
      <c r="A21" s="15" t="str">
        <f aca="false">'Haul Data'!A21</f>
        <v>HL-1020</v>
      </c>
      <c r="B21" s="15" t="str">
        <f aca="false">'Haul Data'!D21</f>
        <v>Stevens Point</v>
      </c>
      <c r="C21" s="15" t="str">
        <f aca="false">'Haul Data'!F21</f>
        <v>White Ash</v>
      </c>
      <c r="D21" s="15" t="str">
        <f aca="false">'Haul Data'!G21</f>
        <v>Select</v>
      </c>
      <c r="E21" s="15" t="n">
        <f aca="false">'Haul Data'!E21*Assumptions!$B$5</f>
        <v>6</v>
      </c>
      <c r="F21" s="15" t="n">
        <f aca="false">'Haul Data'!H21</f>
        <v>6300</v>
      </c>
      <c r="G21" s="17" t="n">
        <f aca="false">F21/1000</f>
        <v>6.3</v>
      </c>
      <c r="H21" s="18" t="n">
        <f aca="false">IFERROR('Haul Data'!K21*'Haul Data'!L21,0)</f>
        <v>33.18</v>
      </c>
      <c r="I21" s="18" t="n">
        <f aca="false">IFERROR('Haul Data'!J21*'Haul Data'!M21,0)</f>
        <v>55.18</v>
      </c>
      <c r="J21" s="18" t="n">
        <f aca="false">E21*Assumptions!$B$6</f>
        <v>3.72</v>
      </c>
      <c r="K21" s="18" t="n">
        <f aca="false">Assumptions!$B$7</f>
        <v>45</v>
      </c>
      <c r="L21" s="18" t="n">
        <f aca="false">SUM(H21:K21)+'Haul Data'!N21</f>
        <v>162.08</v>
      </c>
      <c r="M21" s="18" t="n">
        <f aca="false">IFERROR(L21/E21,"check miles")</f>
        <v>27.0133333333333</v>
      </c>
      <c r="N21" s="18" t="n">
        <f aca="false">IFERROR(L21/G21,"no volume")</f>
        <v>25.7269841269841</v>
      </c>
      <c r="O21" s="15" t="str">
        <f aca="false">IF(F21=0,"Zero board feet",IF('Haul Data'!K21="","Missing fuel",IF('Haul Data'!J21&gt;Assumptions!$B$8,"Driving-hours screening flag",IF('Haul Data'!E21&lt;Assumptions!$B$9,"Miles look wrong","OK"))))</f>
        <v>Miles look wrong</v>
      </c>
    </row>
    <row r="22" customFormat="false" ht="15" hidden="false" customHeight="true" outlineLevel="0" collapsed="false">
      <c r="A22" s="15" t="str">
        <f aca="false">'Haul Data'!A22</f>
        <v>HL-1021</v>
      </c>
      <c r="B22" s="15" t="str">
        <f aca="false">'Haul Data'!D22</f>
        <v>Rhinelander</v>
      </c>
      <c r="C22" s="15" t="str">
        <f aca="false">'Haul Data'!F22</f>
        <v>White Ash</v>
      </c>
      <c r="D22" s="15" t="str">
        <f aca="false">'Haul Data'!G22</f>
        <v>1C</v>
      </c>
      <c r="E22" s="15" t="n">
        <f aca="false">'Haul Data'!E22*Assumptions!$B$5</f>
        <v>90</v>
      </c>
      <c r="F22" s="15" t="n">
        <f aca="false">'Haul Data'!H22</f>
        <v>6300</v>
      </c>
      <c r="G22" s="17" t="n">
        <f aca="false">F22/1000</f>
        <v>6.3</v>
      </c>
      <c r="H22" s="18" t="n">
        <f aca="false">IFERROR('Haul Data'!K22*'Haul Data'!L22,0)</f>
        <v>70.494</v>
      </c>
      <c r="I22" s="18" t="n">
        <f aca="false">IFERROR('Haul Data'!J22*'Haul Data'!M22,0)</f>
        <v>86.49</v>
      </c>
      <c r="J22" s="18" t="n">
        <f aca="false">E22*Assumptions!$B$6</f>
        <v>55.8</v>
      </c>
      <c r="K22" s="18" t="n">
        <f aca="false">Assumptions!$B$7</f>
        <v>45</v>
      </c>
      <c r="L22" s="18" t="n">
        <f aca="false">SUM(H22:K22)+'Haul Data'!N22</f>
        <v>257.784</v>
      </c>
      <c r="M22" s="18" t="n">
        <f aca="false">IFERROR(L22/E22,"check miles")</f>
        <v>2.86426666666667</v>
      </c>
      <c r="N22" s="18" t="n">
        <f aca="false">IFERROR(L22/G22,"no volume")</f>
        <v>40.9180952380952</v>
      </c>
      <c r="O22" s="15" t="str">
        <f aca="false">IF(F22=0,"Zero board feet",IF('Haul Data'!K22="","Missing fuel",IF('Haul Data'!J22&gt;Assumptions!$B$8,"Driving-hours screening flag",IF('Haul Data'!E22&lt;Assumptions!$B$9,"Miles look wrong","OK"))))</f>
        <v>OK</v>
      </c>
    </row>
    <row r="23" customFormat="false" ht="15" hidden="false" customHeight="true" outlineLevel="0" collapsed="false">
      <c r="A23" s="15" t="str">
        <f aca="false">'Haul Data'!A23</f>
        <v>HL-1022</v>
      </c>
      <c r="B23" s="15" t="str">
        <f aca="false">'Haul Data'!D23</f>
        <v>Deerbrook</v>
      </c>
      <c r="C23" s="15" t="str">
        <f aca="false">'Haul Data'!F23</f>
        <v>White Ash</v>
      </c>
      <c r="D23" s="15" t="str">
        <f aca="false">'Haul Data'!G23</f>
        <v>1C</v>
      </c>
      <c r="E23" s="15" t="n">
        <f aca="false">'Haul Data'!E23*Assumptions!$B$5</f>
        <v>24</v>
      </c>
      <c r="F23" s="15" t="n">
        <f aca="false">'Haul Data'!H23</f>
        <v>2800</v>
      </c>
      <c r="G23" s="17" t="n">
        <f aca="false">F23/1000</f>
        <v>2.8</v>
      </c>
      <c r="H23" s="18" t="n">
        <f aca="false">IFERROR('Haul Data'!K23*'Haul Data'!L23,0)</f>
        <v>26.572</v>
      </c>
      <c r="I23" s="18" t="n">
        <f aca="false">IFERROR('Haul Data'!J23*'Haul Data'!M23,0)</f>
        <v>64.125</v>
      </c>
      <c r="J23" s="18" t="n">
        <f aca="false">E23*Assumptions!$B$6</f>
        <v>14.88</v>
      </c>
      <c r="K23" s="18" t="n">
        <f aca="false">Assumptions!$B$7</f>
        <v>45</v>
      </c>
      <c r="L23" s="18" t="n">
        <f aca="false">SUM(H23:K23)+'Haul Data'!N23</f>
        <v>190.577</v>
      </c>
      <c r="M23" s="18" t="n">
        <f aca="false">IFERROR(L23/E23,"check miles")</f>
        <v>7.94070833333333</v>
      </c>
      <c r="N23" s="18" t="n">
        <f aca="false">IFERROR(L23/G23,"no volume")</f>
        <v>68.0632142857143</v>
      </c>
      <c r="O23" s="15" t="str">
        <f aca="false">IF(F23=0,"Zero board feet",IF('Haul Data'!K23="","Missing fuel",IF('Haul Data'!J23&gt;Assumptions!$B$8,"Driving-hours screening flag",IF('Haul Data'!E23&lt;Assumptions!$B$9,"Miles look wrong","OK"))))</f>
        <v>OK</v>
      </c>
    </row>
    <row r="24" customFormat="false" ht="15" hidden="false" customHeight="true" outlineLevel="0" collapsed="false">
      <c r="A24" s="15" t="str">
        <f aca="false">'Haul Data'!A24</f>
        <v>HL-1023</v>
      </c>
      <c r="B24" s="15" t="str">
        <f aca="false">'Haul Data'!D24</f>
        <v>Wausau</v>
      </c>
      <c r="C24" s="15" t="str">
        <f aca="false">'Haul Data'!F24</f>
        <v>Soft Maple</v>
      </c>
      <c r="D24" s="15" t="str">
        <f aca="false">'Haul Data'!G24</f>
        <v>2AC</v>
      </c>
      <c r="E24" s="15" t="n">
        <f aca="false">'Haul Data'!E24*Assumptions!$B$5</f>
        <v>84</v>
      </c>
      <c r="F24" s="15" t="n">
        <f aca="false">'Haul Data'!H24</f>
        <v>3400</v>
      </c>
      <c r="G24" s="17" t="n">
        <f aca="false">F24/1000</f>
        <v>3.4</v>
      </c>
      <c r="H24" s="18" t="n">
        <f aca="false">IFERROR('Haul Data'!K24*'Haul Data'!L24,0)</f>
        <v>67.064</v>
      </c>
      <c r="I24" s="18" t="n">
        <f aca="false">IFERROR('Haul Data'!J24*'Haul Data'!M24,0)</f>
        <v>821.5</v>
      </c>
      <c r="J24" s="18" t="n">
        <f aca="false">E24*Assumptions!$B$6</f>
        <v>52.08</v>
      </c>
      <c r="K24" s="18" t="n">
        <f aca="false">Assumptions!$B$7</f>
        <v>45</v>
      </c>
      <c r="L24" s="18" t="n">
        <f aca="false">SUM(H24:K24)+'Haul Data'!N24</f>
        <v>985.644</v>
      </c>
      <c r="M24" s="18" t="n">
        <f aca="false">IFERROR(L24/E24,"check miles")</f>
        <v>11.7338571428571</v>
      </c>
      <c r="N24" s="18" t="n">
        <f aca="false">IFERROR(L24/G24,"no volume")</f>
        <v>289.895294117647</v>
      </c>
      <c r="O24" s="15" t="str">
        <f aca="false">IF(F24=0,"Zero board feet",IF('Haul Data'!K24="","Missing fuel",IF('Haul Data'!J24&gt;Assumptions!$B$8,"Driving-hours screening flag",IF('Haul Data'!E24&lt;Assumptions!$B$9,"Miles look wrong","OK"))))</f>
        <v>Driving-hours screening flag</v>
      </c>
    </row>
    <row r="25" customFormat="false" ht="15" hidden="false" customHeight="true" outlineLevel="0" collapsed="false">
      <c r="A25" s="15" t="str">
        <f aca="false">'Haul Data'!A25</f>
        <v>HL-1024</v>
      </c>
      <c r="B25" s="15" t="str">
        <f aca="false">'Haul Data'!D25</f>
        <v>Wittenberg</v>
      </c>
      <c r="C25" s="15" t="str">
        <f aca="false">'Haul Data'!F25</f>
        <v>White Ash</v>
      </c>
      <c r="D25" s="15" t="str">
        <f aca="false">'Haul Data'!G25</f>
        <v>Select</v>
      </c>
      <c r="E25" s="15" t="n">
        <f aca="false">'Haul Data'!E25*Assumptions!$B$5</f>
        <v>60</v>
      </c>
      <c r="F25" s="15" t="n">
        <f aca="false">'Haul Data'!H25</f>
        <v>4600</v>
      </c>
      <c r="G25" s="17" t="n">
        <f aca="false">F25/1000</f>
        <v>4.6</v>
      </c>
      <c r="H25" s="18" t="n">
        <f aca="false">IFERROR('Haul Data'!K25*'Haul Data'!L25,0)</f>
        <v>53.214</v>
      </c>
      <c r="I25" s="18" t="n">
        <f aca="false">IFERROR('Haul Data'!J25*'Haul Data'!M25,0)</f>
        <v>61.285</v>
      </c>
      <c r="J25" s="18" t="n">
        <f aca="false">E25*Assumptions!$B$6</f>
        <v>37.2</v>
      </c>
      <c r="K25" s="18" t="n">
        <f aca="false">Assumptions!$B$7</f>
        <v>45</v>
      </c>
      <c r="L25" s="18" t="n">
        <f aca="false">SUM(H25:K25)+'Haul Data'!N25</f>
        <v>196.699</v>
      </c>
      <c r="M25" s="18" t="n">
        <f aca="false">IFERROR(L25/E25,"check miles")</f>
        <v>3.27831666666667</v>
      </c>
      <c r="N25" s="18" t="n">
        <f aca="false">IFERROR(L25/G25,"no volume")</f>
        <v>42.7606521739131</v>
      </c>
      <c r="O25" s="15" t="str">
        <f aca="false">IF(F25=0,"Zero board feet",IF('Haul Data'!K25="","Missing fuel",IF('Haul Data'!J25&gt;Assumptions!$B$8,"Driving-hours screening flag",IF('Haul Data'!E25&lt;Assumptions!$B$9,"Miles look wrong","OK"))))</f>
        <v>OK</v>
      </c>
    </row>
    <row r="26" customFormat="false" ht="15" hidden="false" customHeight="true" outlineLevel="0" collapsed="false">
      <c r="A26" s="15" t="str">
        <f aca="false">'Haul Data'!A26</f>
        <v>HL-1025</v>
      </c>
      <c r="B26" s="15" t="str">
        <f aca="false">'Haul Data'!D26</f>
        <v>Tomahawk</v>
      </c>
      <c r="C26" s="15" t="str">
        <f aca="false">'Haul Data'!F26</f>
        <v>Hard Maple</v>
      </c>
      <c r="D26" s="15" t="str">
        <f aca="false">'Haul Data'!G26</f>
        <v>1C</v>
      </c>
      <c r="E26" s="15" t="n">
        <f aca="false">'Haul Data'!E26*Assumptions!$B$5</f>
        <v>76</v>
      </c>
      <c r="F26" s="15" t="n">
        <f aca="false">'Haul Data'!H26</f>
        <v>6300</v>
      </c>
      <c r="G26" s="17" t="n">
        <f aca="false">F26/1000</f>
        <v>6.3</v>
      </c>
      <c r="H26" s="18" t="n">
        <f aca="false">IFERROR('Haul Data'!K26*'Haul Data'!L26,0)</f>
        <v>68.445</v>
      </c>
      <c r="I26" s="18" t="n">
        <f aca="false">IFERROR('Haul Data'!J26*'Haul Data'!M26,0)</f>
        <v>69.02</v>
      </c>
      <c r="J26" s="18" t="n">
        <f aca="false">E26*Assumptions!$B$6</f>
        <v>47.12</v>
      </c>
      <c r="K26" s="18" t="n">
        <f aca="false">Assumptions!$B$7</f>
        <v>45</v>
      </c>
      <c r="L26" s="18" t="n">
        <f aca="false">SUM(H26:K26)+'Haul Data'!N26</f>
        <v>269.585</v>
      </c>
      <c r="M26" s="18" t="n">
        <f aca="false">IFERROR(L26/E26,"check miles")</f>
        <v>3.54717105263158</v>
      </c>
      <c r="N26" s="18" t="n">
        <f aca="false">IFERROR(L26/G26,"no volume")</f>
        <v>42.7912698412698</v>
      </c>
      <c r="O26" s="15" t="str">
        <f aca="false">IF(F26=0,"Zero board feet",IF('Haul Data'!K26="","Missing fuel",IF('Haul Data'!J26&gt;Assumptions!$B$8,"Driving-hours screening flag",IF('Haul Data'!E26&lt;Assumptions!$B$9,"Miles look wrong","OK"))))</f>
        <v>OK</v>
      </c>
    </row>
    <row r="27" customFormat="false" ht="15" hidden="false" customHeight="true" outlineLevel="0" collapsed="false">
      <c r="A27" s="15" t="str">
        <f aca="false">'Haul Data'!A27</f>
        <v>HL-1026</v>
      </c>
      <c r="B27" s="15" t="str">
        <f aca="false">'Haul Data'!D27</f>
        <v>Shawano</v>
      </c>
      <c r="C27" s="15" t="str">
        <f aca="false">'Haul Data'!F27</f>
        <v>Aspen</v>
      </c>
      <c r="D27" s="15" t="str">
        <f aca="false">'Haul Data'!G27</f>
        <v>2AC</v>
      </c>
      <c r="E27" s="15" t="n">
        <f aca="false">'Haul Data'!E27*Assumptions!$B$5</f>
        <v>96</v>
      </c>
      <c r="F27" s="15" t="n">
        <f aca="false">'Haul Data'!H27</f>
        <v>3400</v>
      </c>
      <c r="G27" s="17" t="n">
        <f aca="false">F27/1000</f>
        <v>3.4</v>
      </c>
      <c r="H27" s="18" t="n">
        <f aca="false">IFERROR('Haul Data'!K27*'Haul Data'!L27,0)</f>
        <v>72.651</v>
      </c>
      <c r="I27" s="18" t="n">
        <f aca="false">IFERROR('Haul Data'!J27*'Haul Data'!M27,0)</f>
        <v>94.335</v>
      </c>
      <c r="J27" s="18" t="n">
        <f aca="false">E27*Assumptions!$B$6</f>
        <v>59.52</v>
      </c>
      <c r="K27" s="18" t="n">
        <f aca="false">Assumptions!$B$7</f>
        <v>45</v>
      </c>
      <c r="L27" s="18" t="n">
        <f aca="false">SUM(H27:K27)+'Haul Data'!N27</f>
        <v>286.506</v>
      </c>
      <c r="M27" s="18" t="n">
        <f aca="false">IFERROR(L27/E27,"check miles")</f>
        <v>2.9844375</v>
      </c>
      <c r="N27" s="18" t="n">
        <f aca="false">IFERROR(L27/G27,"no volume")</f>
        <v>84.2664705882353</v>
      </c>
      <c r="O27" s="15" t="str">
        <f aca="false">IF(F27=0,"Zero board feet",IF('Haul Data'!K27="","Missing fuel",IF('Haul Data'!J27&gt;Assumptions!$B$8,"Driving-hours screening flag",IF('Haul Data'!E27&lt;Assumptions!$B$9,"Miles look wrong","OK"))))</f>
        <v>OK</v>
      </c>
    </row>
    <row r="28" customFormat="false" ht="15" hidden="false" customHeight="true" outlineLevel="0" collapsed="false">
      <c r="A28" s="15" t="str">
        <f aca="false">'Haul Data'!A28</f>
        <v>HL-1027</v>
      </c>
      <c r="B28" s="15" t="str">
        <f aca="false">'Haul Data'!D28</f>
        <v>Merrill</v>
      </c>
      <c r="C28" s="15" t="str">
        <f aca="false">'Haul Data'!F28</f>
        <v>Soft Maple</v>
      </c>
      <c r="D28" s="15" t="str">
        <f aca="false">'Haul Data'!G28</f>
        <v>1C</v>
      </c>
      <c r="E28" s="15" t="n">
        <f aca="false">'Haul Data'!E28*Assumptions!$B$5</f>
        <v>64</v>
      </c>
      <c r="F28" s="15" t="n">
        <f aca="false">'Haul Data'!H28</f>
        <v>5200</v>
      </c>
      <c r="G28" s="17" t="n">
        <f aca="false">F28/1000</f>
        <v>5.2</v>
      </c>
      <c r="H28" s="18" t="n">
        <f aca="false">IFERROR('Haul Data'!K28*'Haul Data'!L28,0)</f>
        <v>60.676</v>
      </c>
      <c r="I28" s="18" t="n">
        <f aca="false">IFERROR('Haul Data'!J28*'Haul Data'!M28,0)</f>
        <v>80.37</v>
      </c>
      <c r="J28" s="18" t="n">
        <f aca="false">E28*Assumptions!$B$6</f>
        <v>39.68</v>
      </c>
      <c r="K28" s="18" t="n">
        <f aca="false">Assumptions!$B$7</f>
        <v>45</v>
      </c>
      <c r="L28" s="18" t="n">
        <f aca="false">SUM(H28:K28)+'Haul Data'!N28</f>
        <v>265.726</v>
      </c>
      <c r="M28" s="18" t="n">
        <f aca="false">IFERROR(L28/E28,"check miles")</f>
        <v>4.15196875</v>
      </c>
      <c r="N28" s="18" t="n">
        <f aca="false">IFERROR(L28/G28,"no volume")</f>
        <v>51.1011538461538</v>
      </c>
      <c r="O28" s="15" t="str">
        <f aca="false">IF(F28=0,"Zero board feet",IF('Haul Data'!K28="","Missing fuel",IF('Haul Data'!J28&gt;Assumptions!$B$8,"Driving-hours screening flag",IF('Haul Data'!E28&lt;Assumptions!$B$9,"Miles look wrong","OK"))))</f>
        <v>OK</v>
      </c>
    </row>
    <row r="29" customFormat="false" ht="15" hidden="false" customHeight="true" outlineLevel="0" collapsed="false">
      <c r="A29" s="15" t="str">
        <f aca="false">'Haul Data'!A29</f>
        <v>HL-1028</v>
      </c>
      <c r="B29" s="15" t="str">
        <f aca="false">'Haul Data'!D29</f>
        <v>Wausau</v>
      </c>
      <c r="C29" s="15" t="str">
        <f aca="false">'Haul Data'!F29</f>
        <v>Yellow Birch</v>
      </c>
      <c r="D29" s="15" t="str">
        <f aca="false">'Haul Data'!G29</f>
        <v>FAS</v>
      </c>
      <c r="E29" s="15" t="n">
        <f aca="false">'Haul Data'!E29*Assumptions!$B$5</f>
        <v>84</v>
      </c>
      <c r="F29" s="15" t="n">
        <f aca="false">'Haul Data'!H29</f>
        <v>6300</v>
      </c>
      <c r="G29" s="17" t="n">
        <f aca="false">F29/1000</f>
        <v>6.3</v>
      </c>
      <c r="H29" s="18" t="n">
        <f aca="false">IFERROR('Haul Data'!K29*'Haul Data'!L29,0)</f>
        <v>72.21</v>
      </c>
      <c r="I29" s="18" t="n">
        <f aca="false">IFERROR('Haul Data'!J29*'Haul Data'!M29,0)</f>
        <v>94.9025</v>
      </c>
      <c r="J29" s="18" t="n">
        <f aca="false">E29*Assumptions!$B$6</f>
        <v>52.08</v>
      </c>
      <c r="K29" s="18" t="n">
        <f aca="false">Assumptions!$B$7</f>
        <v>45</v>
      </c>
      <c r="L29" s="18" t="n">
        <f aca="false">SUM(H29:K29)+'Haul Data'!N29</f>
        <v>279.1925</v>
      </c>
      <c r="M29" s="18" t="n">
        <f aca="false">IFERROR(L29/E29,"check miles")</f>
        <v>3.32372023809524</v>
      </c>
      <c r="N29" s="18" t="n">
        <f aca="false">IFERROR(L29/G29,"no volume")</f>
        <v>44.3162698412698</v>
      </c>
      <c r="O29" s="15" t="str">
        <f aca="false">IF(F29=0,"Zero board feet",IF('Haul Data'!K29="","Missing fuel",IF('Haul Data'!J29&gt;Assumptions!$B$8,"Driving-hours screening flag",IF('Haul Data'!E29&lt;Assumptions!$B$9,"Miles look wrong","OK"))))</f>
        <v>OK</v>
      </c>
    </row>
    <row r="30" customFormat="false" ht="15" hidden="false" customHeight="true" outlineLevel="0" collapsed="false">
      <c r="A30" s="19" t="s">
        <v>130</v>
      </c>
      <c r="F30" s="20" t="n">
        <f aca="false">SUM(F2:F29)</f>
        <v>129200</v>
      </c>
      <c r="H30" s="21" t="n">
        <f aca="false">SUM(H2:H29)</f>
        <v>1580.079</v>
      </c>
      <c r="I30" s="21" t="n">
        <f aca="false">SUM(I2:I29)</f>
        <v>2896.66</v>
      </c>
      <c r="J30" s="21" t="n">
        <f aca="false">SUM(J2:J29)</f>
        <v>1202.8</v>
      </c>
      <c r="K30" s="21" t="n">
        <f aca="false">SUM(K2:K29)</f>
        <v>1260</v>
      </c>
      <c r="L30" s="21" t="n">
        <f aca="false">SUM(L2:L29)</f>
        <v>7384.539</v>
      </c>
      <c r="N30" s="21" t="n">
        <f aca="false">IFERROR(L30/(F30/1000),"")</f>
        <v>57.1558746130031</v>
      </c>
    </row>
  </sheetData>
  <printOptions headings="false" gridLines="false" gridLinesSet="true" horizontalCentered="false" verticalCentered="false"/>
  <pageMargins left="0.3" right="0.3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12"/>
  </cols>
  <sheetData>
    <row r="1" customFormat="false" ht="15.75" hidden="false" customHeight="true" outlineLevel="0" collapsed="false">
      <c r="A1" s="22" t="s">
        <v>131</v>
      </c>
    </row>
    <row r="2" customFormat="false" ht="15" hidden="false" customHeight="false" outlineLevel="0" collapsed="false"/>
    <row r="3" customFormat="false" ht="15" hidden="false" customHeight="true" outlineLevel="0" collapsed="false">
      <c r="A3" s="4" t="s">
        <v>28</v>
      </c>
      <c r="B3" s="4" t="s">
        <v>132</v>
      </c>
      <c r="C3" s="4" t="s">
        <v>30</v>
      </c>
      <c r="D3" s="4" t="s">
        <v>126</v>
      </c>
      <c r="E3" s="4" t="s">
        <v>128</v>
      </c>
    </row>
    <row r="4" customFormat="false" ht="15" hidden="false" customHeight="true" outlineLevel="0" collapsed="false">
      <c r="A4" s="15" t="s">
        <v>53</v>
      </c>
      <c r="B4" s="15" t="n">
        <f aca="false">COUNTIF('Cost Analysis'!$C$2:$C$29,$A4)</f>
        <v>5</v>
      </c>
      <c r="C4" s="23" t="n">
        <f aca="false">SUMIF('Cost Analysis'!$C$2:$C$29,$A4,'Cost Analysis'!$F$2:$F$29)</f>
        <v>20100</v>
      </c>
      <c r="D4" s="18" t="n">
        <f aca="false">SUMIF('Cost Analysis'!$C$2:$C$29,$A4,'Cost Analysis'!$L$2:$L$29)</f>
        <v>1379.707</v>
      </c>
      <c r="E4" s="18" t="n">
        <f aca="false">IFERROR(D4/(C4/1000),"no volume")</f>
        <v>68.6421393034826</v>
      </c>
    </row>
    <row r="5" customFormat="false" ht="15" hidden="false" customHeight="true" outlineLevel="0" collapsed="false">
      <c r="A5" s="15" t="s">
        <v>64</v>
      </c>
      <c r="B5" s="15" t="n">
        <f aca="false">COUNTIF('Cost Analysis'!$C$2:$C$29,$A5)</f>
        <v>3</v>
      </c>
      <c r="C5" s="23" t="n">
        <f aca="false">SUMIF('Cost Analysis'!$C$2:$C$29,$A5,'Cost Analysis'!$F$2:$F$29)</f>
        <v>16200</v>
      </c>
      <c r="D5" s="18" t="n">
        <f aca="false">SUMIF('Cost Analysis'!$C$2:$C$29,$A5,'Cost Analysis'!$L$2:$L$29)</f>
        <v>620.2045</v>
      </c>
      <c r="E5" s="18" t="n">
        <f aca="false">IFERROR(D5/(C5/1000),"no volume")</f>
        <v>38.2842283950617</v>
      </c>
    </row>
    <row r="6" customFormat="false" ht="15" hidden="false" customHeight="true" outlineLevel="0" collapsed="false">
      <c r="A6" s="15" t="s">
        <v>75</v>
      </c>
      <c r="B6" s="15" t="n">
        <f aca="false">COUNTIF('Cost Analysis'!$C$2:$C$29,$A6)</f>
        <v>3</v>
      </c>
      <c r="C6" s="23" t="n">
        <f aca="false">SUMIF('Cost Analysis'!$C$2:$C$29,$A6,'Cost Analysis'!$F$2:$F$29)</f>
        <v>13200</v>
      </c>
      <c r="D6" s="18" t="n">
        <f aca="false">SUMIF('Cost Analysis'!$C$2:$C$29,$A6,'Cost Analysis'!$L$2:$L$29)</f>
        <v>666.305</v>
      </c>
      <c r="E6" s="18" t="n">
        <f aca="false">IFERROR(D6/(C6/1000),"no volume")</f>
        <v>50.4776515151515</v>
      </c>
    </row>
    <row r="7" customFormat="false" ht="15" hidden="false" customHeight="true" outlineLevel="0" collapsed="false">
      <c r="A7" s="15" t="s">
        <v>59</v>
      </c>
      <c r="B7" s="15" t="n">
        <f aca="false">COUNTIF('Cost Analysis'!$C$2:$C$29,$A7)</f>
        <v>5</v>
      </c>
      <c r="C7" s="23" t="n">
        <f aca="false">SUMIF('Cost Analysis'!$C$2:$C$29,$A7,'Cost Analysis'!$F$2:$F$29)</f>
        <v>22300</v>
      </c>
      <c r="D7" s="18" t="n">
        <f aca="false">SUMIF('Cost Analysis'!$C$2:$C$29,$A7,'Cost Analysis'!$L$2:$L$29)</f>
        <v>1142.992</v>
      </c>
      <c r="E7" s="18" t="n">
        <f aca="false">IFERROR(D7/(C7/1000),"no volume")</f>
        <v>51.2552466367713</v>
      </c>
    </row>
    <row r="8" customFormat="false" ht="15" hidden="false" customHeight="true" outlineLevel="0" collapsed="false">
      <c r="A8" s="15" t="s">
        <v>41</v>
      </c>
      <c r="B8" s="15" t="n">
        <f aca="false">COUNTIF('Cost Analysis'!$C$2:$C$29,$A8)</f>
        <v>4</v>
      </c>
      <c r="C8" s="23" t="n">
        <f aca="false">SUMIF('Cost Analysis'!$C$2:$C$29,$A8,'Cost Analysis'!$F$2:$F$29)</f>
        <v>19000</v>
      </c>
      <c r="D8" s="18" t="n">
        <f aca="false">SUMIF('Cost Analysis'!$C$2:$C$29,$A8,'Cost Analysis'!$L$2:$L$29)</f>
        <v>1610.666</v>
      </c>
      <c r="E8" s="18" t="n">
        <f aca="false">IFERROR(D8/(C8/1000),"no volume")</f>
        <v>84.7718947368421</v>
      </c>
    </row>
    <row r="9" customFormat="false" ht="15" hidden="false" customHeight="true" outlineLevel="0" collapsed="false">
      <c r="A9" s="15" t="s">
        <v>47</v>
      </c>
      <c r="B9" s="15" t="n">
        <f aca="false">COUNTIF('Cost Analysis'!$C$2:$C$29,$A9)</f>
        <v>7</v>
      </c>
      <c r="C9" s="23" t="n">
        <f aca="false">SUMIF('Cost Analysis'!$C$2:$C$29,$A9,'Cost Analysis'!$F$2:$F$29)</f>
        <v>32100</v>
      </c>
      <c r="D9" s="18" t="n">
        <f aca="false">SUMIF('Cost Analysis'!$C$2:$C$29,$A9,'Cost Analysis'!$L$2:$L$29)</f>
        <v>1685.472</v>
      </c>
      <c r="E9" s="18" t="n">
        <f aca="false">IFERROR(D9/(C9/1000),"no volume")</f>
        <v>52.5069158878505</v>
      </c>
    </row>
    <row r="10" customFormat="false" ht="15" hidden="false" customHeight="true" outlineLevel="0" collapsed="false">
      <c r="A10" s="15" t="s">
        <v>118</v>
      </c>
      <c r="B10" s="15" t="n">
        <f aca="false">COUNTIF('Cost Analysis'!$C$2:$C$29,$A10)</f>
        <v>1</v>
      </c>
      <c r="C10" s="23" t="n">
        <f aca="false">SUMIF('Cost Analysis'!$C$2:$C$29,$A10,'Cost Analysis'!$F$2:$F$29)</f>
        <v>6300</v>
      </c>
      <c r="D10" s="18" t="n">
        <f aca="false">SUMIF('Cost Analysis'!$C$2:$C$29,$A10,'Cost Analysis'!$L$2:$L$29)</f>
        <v>279.1925</v>
      </c>
      <c r="E10" s="18" t="n">
        <f aca="false">IFERROR(D10/(C10/1000),"no volume")</f>
        <v>44.3162698412698</v>
      </c>
    </row>
    <row r="11" customFormat="false" ht="15" hidden="false" customHeight="true" outlineLevel="0" collapsed="false">
      <c r="A11" s="19" t="s">
        <v>130</v>
      </c>
      <c r="B11" s="19" t="n">
        <f aca="false">SUM(B4:B10)</f>
        <v>28</v>
      </c>
      <c r="C11" s="20" t="n">
        <f aca="false">SUM(C4:C10)</f>
        <v>129200</v>
      </c>
      <c r="D11" s="21" t="n">
        <f aca="false">SUM(D4:D10)</f>
        <v>7384.539</v>
      </c>
    </row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.75" hidden="false" customHeight="true" outlineLevel="0" collapsed="false">
      <c r="A14" s="22" t="s">
        <v>133</v>
      </c>
    </row>
    <row r="15" customFormat="false" ht="15" hidden="false" customHeight="false" outlineLevel="0" collapsed="false"/>
    <row r="16" customFormat="false" ht="15" hidden="false" customHeight="true" outlineLevel="0" collapsed="false">
      <c r="A16" s="4" t="s">
        <v>29</v>
      </c>
      <c r="B16" s="4" t="s">
        <v>132</v>
      </c>
      <c r="C16" s="4" t="s">
        <v>30</v>
      </c>
      <c r="D16" s="4" t="s">
        <v>126</v>
      </c>
      <c r="E16" s="4" t="s">
        <v>128</v>
      </c>
    </row>
    <row r="17" customFormat="false" ht="15" hidden="false" customHeight="true" outlineLevel="0" collapsed="false">
      <c r="A17" s="15" t="s">
        <v>54</v>
      </c>
      <c r="B17" s="15" t="n">
        <f aca="false">COUNTIF('Cost Analysis'!$D$2:$D$29,$A17)</f>
        <v>8</v>
      </c>
      <c r="C17" s="23" t="n">
        <f aca="false">SUMIF('Cost Analysis'!$D$2:$D$29,$A17,'Cost Analysis'!$F$2:$F$29)</f>
        <v>38300</v>
      </c>
      <c r="D17" s="18" t="n">
        <f aca="false">SUMIF('Cost Analysis'!$D$2:$D$29,$A17,'Cost Analysis'!$L$2:$L$29)</f>
        <v>2015.1695</v>
      </c>
      <c r="E17" s="18" t="n">
        <f aca="false">IFERROR(D17/(C17/1000),"no volume")</f>
        <v>52.6153916449086</v>
      </c>
    </row>
    <row r="18" customFormat="false" ht="15" hidden="false" customHeight="true" outlineLevel="0" collapsed="false">
      <c r="A18" s="15" t="s">
        <v>42</v>
      </c>
      <c r="B18" s="15" t="n">
        <f aca="false">COUNTIF('Cost Analysis'!$D$2:$D$29,$A18)</f>
        <v>5</v>
      </c>
      <c r="C18" s="23" t="n">
        <f aca="false">SUMIF('Cost Analysis'!$D$2:$D$29,$A18,'Cost Analysis'!$F$2:$F$29)</f>
        <v>18200</v>
      </c>
      <c r="D18" s="18" t="n">
        <f aca="false">SUMIF('Cost Analysis'!$D$2:$D$29,$A18,'Cost Analysis'!$L$2:$L$29)</f>
        <v>1960.276</v>
      </c>
      <c r="E18" s="18" t="n">
        <f aca="false">IFERROR(D18/(C18/1000),"no volume")</f>
        <v>107.707472527473</v>
      </c>
    </row>
    <row r="19" customFormat="false" ht="15" hidden="false" customHeight="true" outlineLevel="0" collapsed="false">
      <c r="A19" s="15" t="s">
        <v>65</v>
      </c>
      <c r="B19" s="15" t="n">
        <f aca="false">COUNTIF('Cost Analysis'!$D$2:$D$29,$A19)</f>
        <v>3</v>
      </c>
      <c r="C19" s="23" t="n">
        <f aca="false">SUMIF('Cost Analysis'!$D$2:$D$29,$A19,'Cost Analysis'!$F$2:$F$29)</f>
        <v>16900</v>
      </c>
      <c r="D19" s="18" t="n">
        <f aca="false">SUMIF('Cost Analysis'!$D$2:$D$29,$A19,'Cost Analysis'!$L$2:$L$29)</f>
        <v>692.205</v>
      </c>
      <c r="E19" s="18" t="n">
        <f aca="false">IFERROR(D19/(C19/1000),"no volume")</f>
        <v>40.958875739645</v>
      </c>
    </row>
    <row r="20" customFormat="false" ht="15" hidden="false" customHeight="true" outlineLevel="0" collapsed="false">
      <c r="A20" s="15" t="s">
        <v>60</v>
      </c>
      <c r="B20" s="15" t="n">
        <f aca="false">COUNTIF('Cost Analysis'!$D$2:$D$29,$A20)</f>
        <v>5</v>
      </c>
      <c r="C20" s="23" t="n">
        <f aca="false">SUMIF('Cost Analysis'!$D$2:$D$29,$A20,'Cost Analysis'!$F$2:$F$29)</f>
        <v>19700</v>
      </c>
      <c r="D20" s="18" t="n">
        <f aca="false">SUMIF('Cost Analysis'!$D$2:$D$29,$A20,'Cost Analysis'!$L$2:$L$29)</f>
        <v>1340.83</v>
      </c>
      <c r="E20" s="18" t="n">
        <f aca="false">IFERROR(D20/(C20/1000),"no volume")</f>
        <v>68.0624365482234</v>
      </c>
    </row>
    <row r="21" customFormat="false" ht="15" hidden="false" customHeight="true" outlineLevel="0" collapsed="false">
      <c r="A21" s="15" t="s">
        <v>89</v>
      </c>
      <c r="B21" s="15" t="n">
        <f aca="false">COUNTIF('Cost Analysis'!$D$2:$D$29,$A21)</f>
        <v>2</v>
      </c>
      <c r="C21" s="23" t="n">
        <f aca="false">SUMIF('Cost Analysis'!$D$2:$D$29,$A21,'Cost Analysis'!$F$2:$F$29)</f>
        <v>13300</v>
      </c>
      <c r="D21" s="18" t="n">
        <f aca="false">SUMIF('Cost Analysis'!$D$2:$D$29,$A21,'Cost Analysis'!$L$2:$L$29)</f>
        <v>449.3795</v>
      </c>
      <c r="E21" s="18" t="n">
        <f aca="false">IFERROR(D21/(C21/1000),"no volume")</f>
        <v>33.7879323308271</v>
      </c>
    </row>
    <row r="22" customFormat="false" ht="15" hidden="false" customHeight="true" outlineLevel="0" collapsed="false">
      <c r="A22" s="15" t="s">
        <v>48</v>
      </c>
      <c r="B22" s="15" t="n">
        <f aca="false">COUNTIF('Cost Analysis'!$D$2:$D$29,$A22)</f>
        <v>5</v>
      </c>
      <c r="C22" s="23" t="n">
        <f aca="false">SUMIF('Cost Analysis'!$D$2:$D$29,$A22,'Cost Analysis'!$F$2:$F$29)</f>
        <v>22800</v>
      </c>
      <c r="D22" s="18" t="n">
        <f aca="false">SUMIF('Cost Analysis'!$D$2:$D$29,$A22,'Cost Analysis'!$L$2:$L$29)</f>
        <v>926.679</v>
      </c>
      <c r="E22" s="18" t="n">
        <f aca="false">IFERROR(D22/(C22/1000),"no volume")</f>
        <v>40.6438157894737</v>
      </c>
    </row>
  </sheetData>
  <printOptions headings="false" gridLines="false" gridLinesSet="true" horizontalCentered="false" verticalCentered="false"/>
  <pageMargins left="0.3" right="0.3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78"/>
  </cols>
  <sheetData>
    <row r="1" customFormat="false" ht="15.75" hidden="false" customHeight="true" outlineLevel="0" collapsed="false">
      <c r="A1" s="22" t="s">
        <v>134</v>
      </c>
    </row>
    <row r="2" customFormat="false" ht="15" hidden="false" customHeight="true" outlineLevel="0" collapsed="false">
      <c r="A2" s="3" t="s">
        <v>135</v>
      </c>
    </row>
    <row r="3" customFormat="false" ht="15" hidden="false" customHeight="false" outlineLevel="0" collapsed="false"/>
    <row r="4" customFormat="false" ht="15" hidden="false" customHeight="true" outlineLevel="0" collapsed="false">
      <c r="A4" s="4" t="s">
        <v>136</v>
      </c>
      <c r="B4" s="4" t="s">
        <v>137</v>
      </c>
      <c r="C4" s="4" t="s">
        <v>138</v>
      </c>
    </row>
    <row r="5" customFormat="false" ht="23.25" hidden="false" customHeight="true" outlineLevel="0" collapsed="false">
      <c r="A5" s="24" t="n">
        <v>1</v>
      </c>
      <c r="B5" s="25" t="s">
        <v>139</v>
      </c>
      <c r="C5" s="24" t="s">
        <v>140</v>
      </c>
    </row>
    <row r="6" customFormat="false" ht="23.25" hidden="false" customHeight="true" outlineLevel="0" collapsed="false">
      <c r="A6" s="24" t="n">
        <v>2</v>
      </c>
      <c r="B6" s="25" t="s">
        <v>141</v>
      </c>
      <c r="C6" s="24" t="s">
        <v>142</v>
      </c>
    </row>
    <row r="7" customFormat="false" ht="15" hidden="false" customHeight="true" outlineLevel="0" collapsed="false">
      <c r="A7" s="24" t="n">
        <v>3</v>
      </c>
      <c r="B7" s="25" t="s">
        <v>143</v>
      </c>
      <c r="C7" s="24" t="s">
        <v>144</v>
      </c>
    </row>
    <row r="8" customFormat="false" ht="23.25" hidden="false" customHeight="true" outlineLevel="0" collapsed="false">
      <c r="A8" s="24" t="n">
        <v>4</v>
      </c>
      <c r="B8" s="25" t="s">
        <v>145</v>
      </c>
      <c r="C8" s="24" t="s">
        <v>146</v>
      </c>
    </row>
    <row r="9" customFormat="false" ht="15" hidden="false" customHeight="true" outlineLevel="0" collapsed="false">
      <c r="A9" s="24" t="n">
        <v>5</v>
      </c>
      <c r="B9" s="25" t="s">
        <v>147</v>
      </c>
      <c r="C9" s="24" t="s">
        <v>148</v>
      </c>
    </row>
    <row r="10" customFormat="false" ht="15" hidden="false" customHeight="true" outlineLevel="0" collapsed="false">
      <c r="A10" s="24" t="n">
        <v>6</v>
      </c>
      <c r="B10" s="25" t="s">
        <v>149</v>
      </c>
      <c r="C10" s="24" t="s">
        <v>150</v>
      </c>
    </row>
    <row r="11" customFormat="false" ht="15" hidden="false" customHeight="false" outlineLevel="0" collapsed="false"/>
    <row r="12" customFormat="false" ht="68.25" hidden="false" customHeight="true" outlineLevel="0" collapsed="false">
      <c r="A12" s="26" t="s">
        <v>151</v>
      </c>
      <c r="B12" s="27" t="s">
        <v>152</v>
      </c>
      <c r="C12" s="26"/>
    </row>
    <row r="13" customFormat="false" ht="41.25" hidden="false" customHeight="true" outlineLevel="0" collapsed="false">
      <c r="B13" s="28" t="s">
        <v>153</v>
      </c>
    </row>
  </sheetData>
  <printOptions headings="false" gridLines="false" gridLinesSet="true" horizontalCentered="false" verticalCentered="false"/>
  <pageMargins left="0.3" right="0.3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2026-07-22T20:44:15Z</dcterms:created>
  <dc:creator>openpyxl</dc:creator>
  <dc:description/>
  <dc:language>en-US</dc:language>
  <cp:lastModifiedBy/>
  <dcterms:modified xsi:type="dcterms:W3CDTF">2026-07-23T17:33:00Z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