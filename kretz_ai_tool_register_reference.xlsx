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quirements" sheetId="2" state="visible" r:id="rId4"/>
    <sheet name="Register" sheetId="3" state="visible" r:id="rId5"/>
    <sheet name="Change Log" sheetId="4" state="visible" r:id="rId6"/>
    <sheet name="Review Log" sheetId="5" state="visible" r:id="rId7"/>
    <sheet name="Human Checks" sheetId="6" state="visible" r:id="rId8"/>
    <sheet name="Lists" sheetId="7" state="visible" r:id="rId9"/>
  </sheets>
  <definedNames>
    <definedName function="false" hidden="true" localSheetId="2" name="_xlnm._FilterDatabase" vbProcedure="false">Register!$A$1:$S$101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Columns A-N match the AI Tool Register CSV export. Paste exported rows into A2:N only; O-Q are formulas.</t>
        </r>
      </text>
    </comment>
    <comment ref="O1" authorId="0">
      <text>
        <r>
          <rPr>
            <sz val="10"/>
            <rFont val="Arial"/>
            <family val="2"/>
          </rPr>
          <t xml:space="preserve">Formula. "Cleared" only when every required field is filled (and not "NEEDS OWNER INPUT"), and a sign-off owner is named or Builder owns outcome = Yes.</t>
        </r>
      </text>
    </comment>
    <comment ref="P1" authorId="0">
      <text>
        <r>
          <rPr>
            <sz val="10"/>
            <rFont val="Arial"/>
            <family val="2"/>
          </rPr>
          <t xml:space="preserve">Formula using TODAY(): Overdue, Due within 30 days, or OK.</t>
        </r>
      </text>
    </comment>
  </commentList>
</comments>
</file>

<file path=xl/sharedStrings.xml><?xml version="1.0" encoding="utf-8"?>
<sst xmlns="http://schemas.openxmlformats.org/spreadsheetml/2006/main" count="138" uniqueCount="130">
  <si>
    <t xml:space="preserve">AI Tool Register — Summary</t>
  </si>
  <si>
    <t xml:space="preserve">Yellow cells are inputs. Counts are formulas over the Register, Change Log and Review Log sheets.</t>
  </si>
  <si>
    <t xml:space="preserve">Measure</t>
  </si>
  <si>
    <t xml:space="preserve">Value</t>
  </si>
  <si>
    <t xml:space="preserve">How it is calculated</t>
  </si>
  <si>
    <t xml:space="preserve">AI tools in the register</t>
  </si>
  <si>
    <t xml:space="preserve">Rows with a tool name</t>
  </si>
  <si>
    <t xml:space="preserve">Cleared for use</t>
  </si>
  <si>
    <t xml:space="preserve">Status formula = Cleared</t>
  </si>
  <si>
    <t xml:space="preserve">Not cleared</t>
  </si>
  <si>
    <t xml:space="preserve">Status formula = Not cleared</t>
  </si>
  <si>
    <t xml:space="preserve">No named sign-off owner</t>
  </si>
  <si>
    <t xml:space="preserve">Name present, builder does not own it, sign-off owner blank</t>
  </si>
  <si>
    <t xml:space="preserve">Reviews overdue</t>
  </si>
  <si>
    <t xml:space="preserve">Next review date before today</t>
  </si>
  <si>
    <t xml:space="preserve">Reviews due within 30 days</t>
  </si>
  <si>
    <t xml:space="preserve">Next review date in the next 30 days</t>
  </si>
  <si>
    <t xml:space="preserve">Changes logged</t>
  </si>
  <si>
    <t xml:space="preserve">Rows in Change Log with a date</t>
  </si>
  <si>
    <t xml:space="preserve">Checklist reviews recorded</t>
  </si>
  <si>
    <t xml:space="preserve">Rows in Review Log with a date</t>
  </si>
  <si>
    <t xml:space="preserve">Register owner</t>
  </si>
  <si>
    <t xml:space="preserve">Input: the person accountable for this register</t>
  </si>
  <si>
    <t xml:space="preserve">Register next review date</t>
  </si>
  <si>
    <t xml:space="preserve">Input: when the owner next reviews this register and its fields</t>
  </si>
  <si>
    <t xml:space="preserve">Last backup / export</t>
  </si>
  <si>
    <t xml:space="preserve">Input: date of the most recent copy saved elsewhere</t>
  </si>
  <si>
    <t xml:space="preserve">Minimum requirements for any AI tool register</t>
  </si>
  <si>
    <t xml:space="preserve">Kretz can use this workbook, a SharePoint list, or anything else. Whatever it is, it should pass these. Mark each Pass or Fail.</t>
  </si>
  <si>
    <t xml:space="preserve">#</t>
  </si>
  <si>
    <t xml:space="preserve">Requirement</t>
  </si>
  <si>
    <t xml:space="preserve">How this workbook meets it</t>
  </si>
  <si>
    <t xml:space="preserve">Pass / Fail</t>
  </si>
  <si>
    <t xml:space="preserve">Every AI tool in use has exactly one record.</t>
  </si>
  <si>
    <t xml:space="preserve">Register sheet, one row per tool. Tool name dropdowns in the logs come from it.</t>
  </si>
  <si>
    <t xml:space="preserve">Each record names a builder and a sign-off owner, or states that the builder owns the outcome.</t>
  </si>
  <si>
    <t xml:space="preserve">Builder, Sign-off owner and Builder owns outcome columns.</t>
  </si>
  <si>
    <t xml:space="preserve">Cleared / not-cleared status is calculated from the required fields, not typed by hand.</t>
  </si>
  <si>
    <t xml:space="preserve">Status and Missing columns are formulas.</t>
  </si>
  <si>
    <t xml:space="preserve">Each record has a next review date, and overdue reviews are visibly flagged.</t>
  </si>
  <si>
    <t xml:space="preserve">Review column (TODAY-based) with red / amber highlighting; Summary counts.</t>
  </si>
  <si>
    <t xml:space="preserve">Changes are logged with date, what changed, who changed it, and who approved it.</t>
  </si>
  <si>
    <t xml:space="preserve">Change Log sheet.</t>
  </si>
  <si>
    <t xml:space="preserve">Checklist review results are recorded with date, decision and evidence.</t>
  </si>
  <si>
    <t xml:space="preserve">Review Log sheet.</t>
  </si>
  <si>
    <t xml:space="preserve">Only named people can edit; everyone who uses the tools can view.</t>
  </si>
  <si>
    <t xml:space="preserve">Not built in: set file permissions where it is stored (e.g. SharePoint / OneDrive: owners edit, others view).</t>
  </si>
  <si>
    <t xml:space="preserve">The register is backed up or versioned, and a copy can be exported.</t>
  </si>
  <si>
    <t xml:space="preserve">Store it where version history is on; record the last backup on Summary.</t>
  </si>
  <si>
    <t xml:space="preserve">The register itself has a named owner and a scheduled review date.</t>
  </si>
  <si>
    <t xml:space="preserve">Summary: Register owner and Register next review date.</t>
  </si>
  <si>
    <t xml:space="preserve">Decision</t>
  </si>
  <si>
    <t xml:space="preserve">Tool name</t>
  </si>
  <si>
    <t xml:space="preserve">What it does</t>
  </si>
  <si>
    <t xml:space="preserve">Who uses it</t>
  </si>
  <si>
    <t xml:space="preserve">Builder</t>
  </si>
  <si>
    <t xml:space="preserve">Sign-off owner</t>
  </si>
  <si>
    <t xml:space="preserve">Decisions it supports</t>
  </si>
  <si>
    <t xml:space="preserve">Data it uses (sources)</t>
  </si>
  <si>
    <t xml:space="preserve">Data it must never receive</t>
  </si>
  <si>
    <t xml:space="preserve">Checklist it must pass</t>
  </si>
  <si>
    <t xml:space="preserve">When it is wrong</t>
  </si>
  <si>
    <t xml:space="preserve">Platform</t>
  </si>
  <si>
    <t xml:space="preserve">Next review date</t>
  </si>
  <si>
    <t xml:space="preserve">Builder owns outcome</t>
  </si>
  <si>
    <t xml:space="preserve">Custom fields</t>
  </si>
  <si>
    <t xml:space="preserve">Status</t>
  </si>
  <si>
    <t xml:space="preserve">Review</t>
  </si>
  <si>
    <t xml:space="preserve">Missing (required)</t>
  </si>
  <si>
    <t xml:space="preserve">Last updated</t>
  </si>
  <si>
    <t xml:space="preserve">Updated by</t>
  </si>
  <si>
    <t xml:space="preserve">Kretz Parcel Scout</t>
  </si>
  <si>
    <t xml:space="preserve">A forester taps a location or uses GPS; shows the county parcel record, MFL enrollment, soils, comparable land sales and lead signals, each with its public source.</t>
  </si>
  <si>
    <t xml:space="preserve">Foresters, land buyers</t>
  </si>
  <si>
    <t xml:space="preserve">NTC training prototype</t>
  </si>
  <si>
    <t xml:space="preserve">Whether to pursue a parcel and what to verify before contacting the owner</t>
  </si>
  <si>
    <t xml:space="preserve">WI Statewide Parcels, WI DNR tax-law points, USDA soil survey, WI DOR transfer returns</t>
  </si>
  <si>
    <t xml:space="preserve">Confidential offers, internal deal notes, landowner personal details beyond the public record</t>
  </si>
  <si>
    <t xml:space="preserve">AI valuation tool output</t>
  </si>
  <si>
    <t xml:space="preserve">Report through No-Fault Reporting with parcel ID and screenshot; builder corrects; shared figures re-checked by sign-off owner.</t>
  </si>
  <si>
    <t xml:space="preserve">Web app (Vercel)</t>
  </si>
  <si>
    <t xml:space="preserve">Yes</t>
  </si>
  <si>
    <t xml:space="preserve">Web address: https://kretzdemo-phi.vercel.app/</t>
  </si>
  <si>
    <t xml:space="preserve">Example</t>
  </si>
  <si>
    <t xml:space="preserve">Kretz DNA Assistant</t>
  </si>
  <si>
    <t xml:space="preserve">Rewrites outgoing messages into the Kretz voice, preserves facts, and flags anything that needs human review.</t>
  </si>
  <si>
    <t xml:space="preserve">Anyone sending external messages</t>
  </si>
  <si>
    <t xml:space="preserve">NTC training (Custom GPT)</t>
  </si>
  <si>
    <t xml:space="preserve">NEEDS OWNER INPUT</t>
  </si>
  <si>
    <t xml:space="preserve">None directly; drafts messages a person sends</t>
  </si>
  <si>
    <t xml:space="preserve">Message pasted in by the user; Kretz voice guide in the GPT instructions</t>
  </si>
  <si>
    <t xml:space="preserve">Confidential pricing, deal terms, personnel matters</t>
  </si>
  <si>
    <t xml:space="preserve">Outgoing landowner letter or email drafted with AI</t>
  </si>
  <si>
    <t xml:space="preserve">Sender corrects before sending; repeated problems reported through No-Fault Reporting.</t>
  </si>
  <si>
    <t xml:space="preserve">ChatGPT Custom GPT</t>
  </si>
  <si>
    <t xml:space="preserve">No</t>
  </si>
  <si>
    <t xml:space="preserve">Date</t>
  </si>
  <si>
    <t xml:space="preserve">Tool</t>
  </si>
  <si>
    <t xml:space="preserve">What changed</t>
  </si>
  <si>
    <t xml:space="preserve">Changed by</t>
  </si>
  <si>
    <t xml:space="preserve">Approved by (sign-off owner)</t>
  </si>
  <si>
    <t xml:space="preserve">Reference (card file, version, link)</t>
  </si>
  <si>
    <t xml:space="preserve">Example: added card; builder accepts ownership until a sign-off owner is named</t>
  </si>
  <si>
    <t xml:space="preserve">NTC trainer</t>
  </si>
  <si>
    <t xml:space="preserve">Builder (accepted)</t>
  </si>
  <si>
    <t xml:space="preserve">kretz-ai-tool-card_kretz-parcel-scout.json</t>
  </si>
  <si>
    <t xml:space="preserve">Checklist used</t>
  </si>
  <si>
    <t xml:space="preserve">Failing items (if any)</t>
  </si>
  <si>
    <t xml:space="preserve">Reviewer</t>
  </si>
  <si>
    <t xml:space="preserve">Evidence (file or link)</t>
  </si>
  <si>
    <t xml:space="preserve">What a human still has to check</t>
  </si>
  <si>
    <t xml:space="preserve">The workbook tracks; it does not judge. These stay with people.</t>
  </si>
  <si>
    <t xml:space="preserve">Check</t>
  </si>
  <si>
    <t xml:space="preserve">Why it matters</t>
  </si>
  <si>
    <t xml:space="preserve">Is every AI tool actually in the register?</t>
  </si>
  <si>
    <t xml:space="preserve">Tools nobody registered are the ones nobody reviews. Ask each department once a quarter.</t>
  </si>
  <si>
    <t xml:space="preserve">Is the named sign-off owner the right person, and do they know?</t>
  </si>
  <si>
    <t xml:space="preserve">A name in a cell is not ownership until that person has agreed to it.</t>
  </si>
  <si>
    <t xml:space="preserve">"Cleared" means the card is complete, not that the tool is correct.</t>
  </si>
  <si>
    <t xml:space="preserve">Only checklist reviews of real output (Review Log) show whether the tool works.</t>
  </si>
  <si>
    <t xml:space="preserve">Do the checklists still match real outcomes?</t>
  </si>
  <si>
    <t xml:space="preserve">Checklist owners compare their lists with what actually went wrong, on the review date.</t>
  </si>
  <si>
    <t xml:space="preserve">Did anyone type over a formula?</t>
  </si>
  <si>
    <t xml:space="preserve">Status and Review are formulas. A typed "Cleared" hides missing fields.</t>
  </si>
  <si>
    <t xml:space="preserve">Platforms</t>
  </si>
  <si>
    <t xml:space="preserve">ChatGPT conversation / project</t>
  </si>
  <si>
    <t xml:space="preserve">Microsoft Copilot</t>
  </si>
  <si>
    <t xml:space="preserve">Excel / spreadsheet</t>
  </si>
  <si>
    <t xml:space="preserve">Vendor software</t>
  </si>
  <si>
    <t xml:space="preserve">Other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</si>
</sst>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2B"/>
        <bgColor rgb="FF333300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 patternType="solid">
          <fgColor rgb="FF1F3A2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n">
        <f aca="false">COUNTIF(Register!$A$2:$A$101,"?*")</f>
        <v>2</v>
      </c>
      <c r="C5" s="5" t="s">
        <v>6</v>
      </c>
    </row>
    <row r="6" customFormat="false" ht="15" hidden="false" customHeight="false" outlineLevel="0" collapsed="false">
      <c r="A6" s="4" t="s">
        <v>7</v>
      </c>
      <c r="B6" s="4" t="n">
        <f aca="false">COUNTIF(Register!$O$2:$O$101,"Cleared")</f>
        <v>1</v>
      </c>
      <c r="C6" s="5" t="s">
        <v>8</v>
      </c>
    </row>
    <row r="7" customFormat="false" ht="15" hidden="false" customHeight="false" outlineLevel="0" collapsed="false">
      <c r="A7" s="4" t="s">
        <v>9</v>
      </c>
      <c r="B7" s="4" t="n">
        <f aca="false">COUNTIF(Register!$O$2:$O$101,"Not cleared")</f>
        <v>1</v>
      </c>
      <c r="C7" s="5" t="s">
        <v>10</v>
      </c>
    </row>
    <row r="8" customFormat="false" ht="15" hidden="false" customHeight="false" outlineLevel="0" collapsed="false">
      <c r="A8" s="4" t="s">
        <v>11</v>
      </c>
      <c r="B8" s="4" t="n">
        <f aca="false">SUMPRODUCT((LEN(TRIM(Register!$A$2:$A$101))&gt;0)*(Register!$M$2:$M$101&lt;&gt;"Yes")*((LEN(TRIM(Register!$E$2:$E$101))=0)+(Register!$E$2:$E$101="NEEDS OWNER INPUT")&gt;0))</f>
        <v>1</v>
      </c>
      <c r="C8" s="5" t="s">
        <v>12</v>
      </c>
    </row>
    <row r="9" customFormat="false" ht="15" hidden="false" customHeight="false" outlineLevel="0" collapsed="false">
      <c r="A9" s="4" t="s">
        <v>13</v>
      </c>
      <c r="B9" s="4" t="n">
        <f aca="false">COUNTIF(Register!$P$2:$P$101,"Overdue")</f>
        <v>0</v>
      </c>
      <c r="C9" s="5" t="s">
        <v>14</v>
      </c>
    </row>
    <row r="10" customFormat="false" ht="15" hidden="false" customHeight="false" outlineLevel="0" collapsed="false">
      <c r="A10" s="4" t="s">
        <v>15</v>
      </c>
      <c r="B10" s="4" t="n">
        <f aca="false">COUNTIF(Register!$P$2:$P$101,"Due within 30 days")</f>
        <v>1</v>
      </c>
      <c r="C10" s="5" t="s">
        <v>16</v>
      </c>
    </row>
    <row r="11" customFormat="false" ht="15" hidden="false" customHeight="false" outlineLevel="0" collapsed="false">
      <c r="A11" s="4" t="s">
        <v>17</v>
      </c>
      <c r="B11" s="4" t="n">
        <f aca="false">COUNTA('Change Log'!$A$2:$A$201)</f>
        <v>1</v>
      </c>
      <c r="C11" s="5" t="s">
        <v>18</v>
      </c>
    </row>
    <row r="12" customFormat="false" ht="15" hidden="false" customHeight="false" outlineLevel="0" collapsed="false">
      <c r="A12" s="4" t="s">
        <v>19</v>
      </c>
      <c r="B12" s="4" t="n">
        <f aca="false">COUNTA('Review Log'!$A$2:$A$201)</f>
        <v>0</v>
      </c>
      <c r="C12" s="5" t="s">
        <v>20</v>
      </c>
    </row>
    <row r="13" customFormat="false" ht="15" hidden="false" customHeight="false" outlineLevel="0" collapsed="false">
      <c r="A13" s="4" t="s">
        <v>21</v>
      </c>
      <c r="B13" s="6"/>
      <c r="C13" s="5" t="s">
        <v>22</v>
      </c>
    </row>
    <row r="14" customFormat="false" ht="15" hidden="false" customHeight="false" outlineLevel="0" collapsed="false">
      <c r="A14" s="4" t="s">
        <v>23</v>
      </c>
      <c r="B14" s="7"/>
      <c r="C14" s="5" t="s">
        <v>24</v>
      </c>
    </row>
    <row r="15" customFormat="false" ht="15" hidden="false" customHeight="false" outlineLevel="0" collapsed="false">
      <c r="A15" s="4" t="s">
        <v>25</v>
      </c>
      <c r="B15" s="7"/>
      <c r="C15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58"/>
    <col collapsed="false" customWidth="true" hidden="false" outlineLevel="0" max="4" min="4" style="0" width="12"/>
  </cols>
  <sheetData>
    <row r="1" customFormat="false" ht="16.15" hidden="false" customHeight="false" outlineLevel="0" collapsed="false">
      <c r="A1" s="8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</row>
    <row r="5" customFormat="false" ht="23.85" hidden="false" customHeight="false" outlineLevel="0" collapsed="false">
      <c r="A5" s="9" t="n">
        <v>1</v>
      </c>
      <c r="B5" s="9" t="s">
        <v>33</v>
      </c>
      <c r="C5" s="10" t="s">
        <v>34</v>
      </c>
      <c r="D5" s="11"/>
    </row>
    <row r="6" customFormat="false" ht="23.85" hidden="false" customHeight="false" outlineLevel="0" collapsed="false">
      <c r="A6" s="9" t="n">
        <v>2</v>
      </c>
      <c r="B6" s="9" t="s">
        <v>35</v>
      </c>
      <c r="C6" s="10" t="s">
        <v>36</v>
      </c>
      <c r="D6" s="11"/>
    </row>
    <row r="7" customFormat="false" ht="23.85" hidden="false" customHeight="false" outlineLevel="0" collapsed="false">
      <c r="A7" s="9" t="n">
        <v>3</v>
      </c>
      <c r="B7" s="9" t="s">
        <v>37</v>
      </c>
      <c r="C7" s="10" t="s">
        <v>38</v>
      </c>
      <c r="D7" s="11"/>
    </row>
    <row r="8" customFormat="false" ht="23.85" hidden="false" customHeight="false" outlineLevel="0" collapsed="false">
      <c r="A8" s="9" t="n">
        <v>4</v>
      </c>
      <c r="B8" s="9" t="s">
        <v>39</v>
      </c>
      <c r="C8" s="10" t="s">
        <v>40</v>
      </c>
      <c r="D8" s="11"/>
    </row>
    <row r="9" customFormat="false" ht="23.85" hidden="false" customHeight="false" outlineLevel="0" collapsed="false">
      <c r="A9" s="9" t="n">
        <v>5</v>
      </c>
      <c r="B9" s="9" t="s">
        <v>41</v>
      </c>
      <c r="C9" s="10" t="s">
        <v>42</v>
      </c>
      <c r="D9" s="11"/>
    </row>
    <row r="10" customFormat="false" ht="23.85" hidden="false" customHeight="false" outlineLevel="0" collapsed="false">
      <c r="A10" s="9" t="n">
        <v>6</v>
      </c>
      <c r="B10" s="9" t="s">
        <v>43</v>
      </c>
      <c r="C10" s="10" t="s">
        <v>44</v>
      </c>
      <c r="D10" s="11"/>
    </row>
    <row r="11" customFormat="false" ht="23.85" hidden="false" customHeight="false" outlineLevel="0" collapsed="false">
      <c r="A11" s="9" t="n">
        <v>7</v>
      </c>
      <c r="B11" s="9" t="s">
        <v>45</v>
      </c>
      <c r="C11" s="10" t="s">
        <v>46</v>
      </c>
      <c r="D11" s="11"/>
    </row>
    <row r="12" customFormat="false" ht="23.85" hidden="false" customHeight="false" outlineLevel="0" collapsed="false">
      <c r="A12" s="9" t="n">
        <v>8</v>
      </c>
      <c r="B12" s="9" t="s">
        <v>47</v>
      </c>
      <c r="C12" s="10" t="s">
        <v>48</v>
      </c>
      <c r="D12" s="11"/>
    </row>
    <row r="13" customFormat="false" ht="23.85" hidden="false" customHeight="false" outlineLevel="0" collapsed="false">
      <c r="A13" s="9" t="n">
        <v>9</v>
      </c>
      <c r="B13" s="9" t="s">
        <v>49</v>
      </c>
      <c r="C13" s="10" t="s">
        <v>50</v>
      </c>
      <c r="D13" s="11"/>
    </row>
    <row r="15" customFormat="false" ht="15" hidden="false" customHeight="false" outlineLevel="0" collapsed="false">
      <c r="B15" s="12" t="s">
        <v>51</v>
      </c>
      <c r="C15" s="12" t="str">
        <f aca="false">IF(COUNTIF(D5:D13,"Fail")&gt;0,"Not approved: fix the failing items only",IF(COUNTIF(D5:D13,"Pass")=9,"APPROVED. This register is done.","In review: "&amp;COUNTIF(D5:D13,"Pass")&amp;" of 9 passed"))</f>
        <v>In review: 0 of 9 passed</v>
      </c>
    </row>
  </sheetData>
  <conditionalFormatting sqref="D5:D13">
    <cfRule type="expression" priority="2" aboveAverage="0" equalAverage="0" bottom="0" percent="0" rank="0" text="" dxfId="0">
      <formula>D5="Pass"</formula>
    </cfRule>
    <cfRule type="expression" priority="3" aboveAverage="0" equalAverage="0" bottom="0" percent="0" rank="0" text="" dxfId="1">
      <formula>D5="Fail"</formula>
    </cfRule>
  </conditionalFormatting>
  <dataValidations count="1">
    <dataValidation allowBlank="true" errorStyle="stop" operator="between" showDropDown="false" showErrorMessage="false" showInputMessage="false" sqref="D5:D13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4" min="3" style="0" width="20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26"/>
    <col collapsed="false" customWidth="true" hidden="false" outlineLevel="0" max="10" min="10" style="0" width="3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6"/>
    <col collapsed="false" customWidth="true" hidden="false" outlineLevel="0" max="15" min="15" style="0" width="13"/>
    <col collapsed="false" customWidth="true" hidden="false" outlineLevel="0" max="16" min="16" style="0" width="18"/>
    <col collapsed="false" customWidth="true" hidden="false" outlineLevel="0" max="17" min="17" style="0" width="38"/>
    <col collapsed="false" customWidth="true" hidden="false" outlineLevel="0" max="18" min="18" style="0" width="13"/>
    <col collapsed="false" customWidth="true" hidden="false" outlineLevel="0" max="19" min="19" style="0" width="16"/>
  </cols>
  <sheetData>
    <row r="1" customFormat="false" ht="31.5" hidden="false" customHeight="true" outlineLevel="0" collapsed="false">
      <c r="A1" s="13" t="s">
        <v>52</v>
      </c>
      <c r="B1" s="13" t="s">
        <v>53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</row>
    <row r="2" customFormat="false" ht="46.25" hidden="false" customHeight="false" outlineLevel="0" collapsed="false">
      <c r="A2" s="11" t="s">
        <v>71</v>
      </c>
      <c r="B2" s="11" t="s">
        <v>72</v>
      </c>
      <c r="C2" s="11" t="s">
        <v>73</v>
      </c>
      <c r="D2" s="11" t="s">
        <v>74</v>
      </c>
      <c r="E2" s="11"/>
      <c r="F2" s="11" t="s">
        <v>75</v>
      </c>
      <c r="G2" s="11" t="s">
        <v>76</v>
      </c>
      <c r="H2" s="11" t="s">
        <v>77</v>
      </c>
      <c r="I2" s="11" t="s">
        <v>78</v>
      </c>
      <c r="J2" s="11" t="s">
        <v>79</v>
      </c>
      <c r="K2" s="11" t="s">
        <v>80</v>
      </c>
      <c r="L2" s="14" t="n">
        <v>46327</v>
      </c>
      <c r="M2" s="11" t="s">
        <v>81</v>
      </c>
      <c r="N2" s="11" t="s">
        <v>82</v>
      </c>
      <c r="O2" s="9" t="str">
        <f aca="false">IF($A2="","",IF(Q2="","Cleared","Not cleared"))</f>
        <v>Cleared</v>
      </c>
      <c r="P2" s="9" t="str">
        <f aca="true">IF($A2="","",IF(NOT(ISNUMBER(L2)),"No review date",IF(L2&lt;TODAY(),"Overdue",IF(L2-TODAY()&lt;=30,"Due within 30 days","OK"))))</f>
        <v>Due within 30 days</v>
      </c>
      <c r="Q2" s="9" t="str">
        <f aca="false">IF($A2="","",IF(OR(LEN(TRIM(B2))=0,B2="NEEDS OWNER INPUT"),"What it does; ","")&amp;IF(OR(LEN(TRIM(D2))=0,D2="NEEDS OWNER INPUT"),"Builder; ","")&amp;IF(OR(LEN(TRIM(G2))=0,G2="NEEDS OWNER INPUT"),"Data it uses; ","")&amp;IF(OR(LEN(TRIM(H2))=0,H2="NEEDS OWNER INPUT"),"Data it must never receive; ","")&amp;IF(OR(LEN(TRIM(I2))=0,I2="NEEDS OWNER INPUT"),"Checklist; ","")&amp;IF(OR(LEN(TRIM(J2))=0,J2="NEEDS OWNER INPUT"),"When it is wrong; ","")&amp;IF(AND(M2&lt;&gt;"Yes",OR(LEN(TRIM(E2))=0,E2="NEEDS OWNER INPUT")),"Sign-off owner; ","")&amp;IF(NOT(ISNUMBER(L2)),"Next review date; ",""))</f>
        <v/>
      </c>
      <c r="R2" s="14" t="n">
        <v>46309</v>
      </c>
      <c r="S2" s="11" t="s">
        <v>83</v>
      </c>
    </row>
    <row r="3" customFormat="false" ht="35.05" hidden="false" customHeight="false" outlineLevel="0" collapsed="false">
      <c r="A3" s="11" t="s">
        <v>84</v>
      </c>
      <c r="B3" s="11" t="s">
        <v>85</v>
      </c>
      <c r="C3" s="11" t="s">
        <v>86</v>
      </c>
      <c r="D3" s="11" t="s">
        <v>87</v>
      </c>
      <c r="E3" s="11" t="s">
        <v>88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1" t="s">
        <v>94</v>
      </c>
      <c r="L3" s="14"/>
      <c r="M3" s="11" t="s">
        <v>95</v>
      </c>
      <c r="N3" s="11"/>
      <c r="O3" s="9" t="str">
        <f aca="false">IF($A3="","",IF(Q3="","Cleared","Not cleared"))</f>
        <v>Not cleared</v>
      </c>
      <c r="P3" s="9" t="str">
        <f aca="true">IF($A3="","",IF(NOT(ISNUMBER(L3)),"No review date",IF(L3&lt;TODAY(),"Overdue",IF(L3-TODAY()&lt;=30,"Due within 30 days","OK"))))</f>
        <v>No review date</v>
      </c>
      <c r="Q3" s="9" t="str">
        <f aca="false">IF($A3="","",IF(OR(LEN(TRIM(B3))=0,B3="NEEDS OWNER INPUT"),"What it does; ","")&amp;IF(OR(LEN(TRIM(D3))=0,D3="NEEDS OWNER INPUT"),"Builder; ","")&amp;IF(OR(LEN(TRIM(G3))=0,G3="NEEDS OWNER INPUT"),"Data it uses; ","")&amp;IF(OR(LEN(TRIM(H3))=0,H3="NEEDS OWNER INPUT"),"Data it must never receive; ","")&amp;IF(OR(LEN(TRIM(I3))=0,I3="NEEDS OWNER INPUT"),"Checklist; ","")&amp;IF(OR(LEN(TRIM(J3))=0,J3="NEEDS OWNER INPUT"),"When it is wrong; ","")&amp;IF(AND(M3&lt;&gt;"Yes",OR(LEN(TRIM(E3))=0,E3="NEEDS OWNER INPUT")),"Sign-off owner; ","")&amp;IF(NOT(ISNUMBER(L3)),"Next review date; ",""))</f>
        <v>Sign-off owner; Next review date; </v>
      </c>
      <c r="R3" s="14" t="n">
        <v>46309</v>
      </c>
      <c r="S3" s="11" t="s">
        <v>83</v>
      </c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4"/>
      <c r="M4" s="11"/>
      <c r="N4" s="11"/>
      <c r="O4" s="9" t="str">
        <f aca="false">IF($A4="","",IF(Q4="","Cleared","Not cleared"))</f>
        <v/>
      </c>
      <c r="P4" s="9" t="str">
        <f aca="true">IF($A4="","",IF(NOT(ISNUMBER(L4)),"No review date",IF(L4&lt;TODAY(),"Overdue",IF(L4-TODAY()&lt;=30,"Due within 30 days","OK"))))</f>
        <v/>
      </c>
      <c r="Q4" s="9" t="str">
        <f aca="false">IF($A4="","",IF(OR(LEN(TRIM(B4))=0,B4="NEEDS OWNER INPUT"),"What it does; ","")&amp;IF(OR(LEN(TRIM(D4))=0,D4="NEEDS OWNER INPUT"),"Builder; ","")&amp;IF(OR(LEN(TRIM(G4))=0,G4="NEEDS OWNER INPUT"),"Data it uses; ","")&amp;IF(OR(LEN(TRIM(H4))=0,H4="NEEDS OWNER INPUT"),"Data it must never receive; ","")&amp;IF(OR(LEN(TRIM(I4))=0,I4="NEEDS OWNER INPUT"),"Checklist; ","")&amp;IF(OR(LEN(TRIM(J4))=0,J4="NEEDS OWNER INPUT"),"When it is wrong; ","")&amp;IF(AND(M4&lt;&gt;"Yes",OR(LEN(TRIM(E4))=0,E4="NEEDS OWNER INPUT")),"Sign-off owner; ","")&amp;IF(NOT(ISNUMBER(L4)),"Next review date; ",""))</f>
        <v/>
      </c>
      <c r="R4" s="14"/>
      <c r="S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4"/>
      <c r="M5" s="11"/>
      <c r="N5" s="11"/>
      <c r="O5" s="9" t="str">
        <f aca="false">IF($A5="","",IF(Q5="","Cleared","Not cleared"))</f>
        <v/>
      </c>
      <c r="P5" s="9" t="str">
        <f aca="true">IF($A5="","",IF(NOT(ISNUMBER(L5)),"No review date",IF(L5&lt;TODAY(),"Overdue",IF(L5-TODAY()&lt;=30,"Due within 30 days","OK"))))</f>
        <v/>
      </c>
      <c r="Q5" s="9" t="str">
        <f aca="false">IF($A5="","",IF(OR(LEN(TRIM(B5))=0,B5="NEEDS OWNER INPUT"),"What it does; ","")&amp;IF(OR(LEN(TRIM(D5))=0,D5="NEEDS OWNER INPUT"),"Builder; ","")&amp;IF(OR(LEN(TRIM(G5))=0,G5="NEEDS OWNER INPUT"),"Data it uses; ","")&amp;IF(OR(LEN(TRIM(H5))=0,H5="NEEDS OWNER INPUT"),"Data it must never receive; ","")&amp;IF(OR(LEN(TRIM(I5))=0,I5="NEEDS OWNER INPUT"),"Checklist; ","")&amp;IF(OR(LEN(TRIM(J5))=0,J5="NEEDS OWNER INPUT"),"When it is wrong; ","")&amp;IF(AND(M5&lt;&gt;"Yes",OR(LEN(TRIM(E5))=0,E5="NEEDS OWNER INPUT")),"Sign-off owner; ","")&amp;IF(NOT(ISNUMBER(L5)),"Next review date; ",""))</f>
        <v/>
      </c>
      <c r="R5" s="14"/>
      <c r="S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4"/>
      <c r="M6" s="11"/>
      <c r="N6" s="11"/>
      <c r="O6" s="9" t="str">
        <f aca="false">IF($A6="","",IF(Q6="","Cleared","Not cleared"))</f>
        <v/>
      </c>
      <c r="P6" s="9" t="str">
        <f aca="true">IF($A6="","",IF(NOT(ISNUMBER(L6)),"No review date",IF(L6&lt;TODAY(),"Overdue",IF(L6-TODAY()&lt;=30,"Due within 30 days","OK"))))</f>
        <v/>
      </c>
      <c r="Q6" s="9" t="str">
        <f aca="false">IF($A6="","",IF(OR(LEN(TRIM(B6))=0,B6="NEEDS OWNER INPUT"),"What it does; ","")&amp;IF(OR(LEN(TRIM(D6))=0,D6="NEEDS OWNER INPUT"),"Builder; ","")&amp;IF(OR(LEN(TRIM(G6))=0,G6="NEEDS OWNER INPUT"),"Data it uses; ","")&amp;IF(OR(LEN(TRIM(H6))=0,H6="NEEDS OWNER INPUT"),"Data it must never receive; ","")&amp;IF(OR(LEN(TRIM(I6))=0,I6="NEEDS OWNER INPUT"),"Checklist; ","")&amp;IF(OR(LEN(TRIM(J6))=0,J6="NEEDS OWNER INPUT"),"When it is wrong; ","")&amp;IF(AND(M6&lt;&gt;"Yes",OR(LEN(TRIM(E6))=0,E6="NEEDS OWNER INPUT")),"Sign-off owner; ","")&amp;IF(NOT(ISNUMBER(L6)),"Next review date; ",""))</f>
        <v/>
      </c>
      <c r="R6" s="14"/>
      <c r="S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4"/>
      <c r="M7" s="11"/>
      <c r="N7" s="11"/>
      <c r="O7" s="9" t="str">
        <f aca="false">IF($A7="","",IF(Q7="","Cleared","Not cleared"))</f>
        <v/>
      </c>
      <c r="P7" s="9" t="str">
        <f aca="true">IF($A7="","",IF(NOT(ISNUMBER(L7)),"No review date",IF(L7&lt;TODAY(),"Overdue",IF(L7-TODAY()&lt;=30,"Due within 30 days","OK"))))</f>
        <v/>
      </c>
      <c r="Q7" s="9" t="str">
        <f aca="false">IF($A7="","",IF(OR(LEN(TRIM(B7))=0,B7="NEEDS OWNER INPUT"),"What it does; ","")&amp;IF(OR(LEN(TRIM(D7))=0,D7="NEEDS OWNER INPUT"),"Builder; ","")&amp;IF(OR(LEN(TRIM(G7))=0,G7="NEEDS OWNER INPUT"),"Data it uses; ","")&amp;IF(OR(LEN(TRIM(H7))=0,H7="NEEDS OWNER INPUT"),"Data it must never receive; ","")&amp;IF(OR(LEN(TRIM(I7))=0,I7="NEEDS OWNER INPUT"),"Checklist; ","")&amp;IF(OR(LEN(TRIM(J7))=0,J7="NEEDS OWNER INPUT"),"When it is wrong; ","")&amp;IF(AND(M7&lt;&gt;"Yes",OR(LEN(TRIM(E7))=0,E7="NEEDS OWNER INPUT")),"Sign-off owner; ","")&amp;IF(NOT(ISNUMBER(L7)),"Next review date; ",""))</f>
        <v/>
      </c>
      <c r="R7" s="14"/>
      <c r="S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4"/>
      <c r="M8" s="11"/>
      <c r="N8" s="11"/>
      <c r="O8" s="9" t="str">
        <f aca="false">IF($A8="","",IF(Q8="","Cleared","Not cleared"))</f>
        <v/>
      </c>
      <c r="P8" s="9" t="str">
        <f aca="true">IF($A8="","",IF(NOT(ISNUMBER(L8)),"No review date",IF(L8&lt;TODAY(),"Overdue",IF(L8-TODAY()&lt;=30,"Due within 30 days","OK"))))</f>
        <v/>
      </c>
      <c r="Q8" s="9" t="str">
        <f aca="false">IF($A8="","",IF(OR(LEN(TRIM(B8))=0,B8="NEEDS OWNER INPUT"),"What it does; ","")&amp;IF(OR(LEN(TRIM(D8))=0,D8="NEEDS OWNER INPUT"),"Builder; ","")&amp;IF(OR(LEN(TRIM(G8))=0,G8="NEEDS OWNER INPUT"),"Data it uses; ","")&amp;IF(OR(LEN(TRIM(H8))=0,H8="NEEDS OWNER INPUT"),"Data it must never receive; ","")&amp;IF(OR(LEN(TRIM(I8))=0,I8="NEEDS OWNER INPUT"),"Checklist; ","")&amp;IF(OR(LEN(TRIM(J8))=0,J8="NEEDS OWNER INPUT"),"When it is wrong; ","")&amp;IF(AND(M8&lt;&gt;"Yes",OR(LEN(TRIM(E8))=0,E8="NEEDS OWNER INPUT")),"Sign-off owner; ","")&amp;IF(NOT(ISNUMBER(L8)),"Next review date; ",""))</f>
        <v/>
      </c>
      <c r="R8" s="14"/>
      <c r="S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/>
      <c r="M9" s="11"/>
      <c r="N9" s="11"/>
      <c r="O9" s="9" t="str">
        <f aca="false">IF($A9="","",IF(Q9="","Cleared","Not cleared"))</f>
        <v/>
      </c>
      <c r="P9" s="9" t="str">
        <f aca="true">IF($A9="","",IF(NOT(ISNUMBER(L9)),"No review date",IF(L9&lt;TODAY(),"Overdue",IF(L9-TODAY()&lt;=30,"Due within 30 days","OK"))))</f>
        <v/>
      </c>
      <c r="Q9" s="9" t="str">
        <f aca="false">IF($A9="","",IF(OR(LEN(TRIM(B9))=0,B9="NEEDS OWNER INPUT"),"What it does; ","")&amp;IF(OR(LEN(TRIM(D9))=0,D9="NEEDS OWNER INPUT"),"Builder; ","")&amp;IF(OR(LEN(TRIM(G9))=0,G9="NEEDS OWNER INPUT"),"Data it uses; ","")&amp;IF(OR(LEN(TRIM(H9))=0,H9="NEEDS OWNER INPUT"),"Data it must never receive; ","")&amp;IF(OR(LEN(TRIM(I9))=0,I9="NEEDS OWNER INPUT"),"Checklist; ","")&amp;IF(OR(LEN(TRIM(J9))=0,J9="NEEDS OWNER INPUT"),"When it is wrong; ","")&amp;IF(AND(M9&lt;&gt;"Yes",OR(LEN(TRIM(E9))=0,E9="NEEDS OWNER INPUT")),"Sign-off owner; ","")&amp;IF(NOT(ISNUMBER(L9)),"Next review date; ",""))</f>
        <v/>
      </c>
      <c r="R9" s="14"/>
      <c r="S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4"/>
      <c r="M10" s="11"/>
      <c r="N10" s="11"/>
      <c r="O10" s="9" t="str">
        <f aca="false">IF($A10="","",IF(Q10="","Cleared","Not cleared"))</f>
        <v/>
      </c>
      <c r="P10" s="9" t="str">
        <f aca="true">IF($A10="","",IF(NOT(ISNUMBER(L10)),"No review date",IF(L10&lt;TODAY(),"Overdue",IF(L10-TODAY()&lt;=30,"Due within 30 days","OK"))))</f>
        <v/>
      </c>
      <c r="Q10" s="9" t="str">
        <f aca="false">IF($A10="","",IF(OR(LEN(TRIM(B10))=0,B10="NEEDS OWNER INPUT"),"What it does; ","")&amp;IF(OR(LEN(TRIM(D10))=0,D10="NEEDS OWNER INPUT"),"Builder; ","")&amp;IF(OR(LEN(TRIM(G10))=0,G10="NEEDS OWNER INPUT"),"Data it uses; ","")&amp;IF(OR(LEN(TRIM(H10))=0,H10="NEEDS OWNER INPUT"),"Data it must never receive; ","")&amp;IF(OR(LEN(TRIM(I10))=0,I10="NEEDS OWNER INPUT"),"Checklist; ","")&amp;IF(OR(LEN(TRIM(J10))=0,J10="NEEDS OWNER INPUT"),"When it is wrong; ","")&amp;IF(AND(M10&lt;&gt;"Yes",OR(LEN(TRIM(E10))=0,E10="NEEDS OWNER INPUT")),"Sign-off owner; ","")&amp;IF(NOT(ISNUMBER(L10)),"Next review date; ",""))</f>
        <v/>
      </c>
      <c r="R10" s="14"/>
      <c r="S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4"/>
      <c r="M11" s="11"/>
      <c r="N11" s="11"/>
      <c r="O11" s="9" t="str">
        <f aca="false">IF($A11="","",IF(Q11="","Cleared","Not cleared"))</f>
        <v/>
      </c>
      <c r="P11" s="9" t="str">
        <f aca="true">IF($A11="","",IF(NOT(ISNUMBER(L11)),"No review date",IF(L11&lt;TODAY(),"Overdue",IF(L11-TODAY()&lt;=30,"Due within 30 days","OK"))))</f>
        <v/>
      </c>
      <c r="Q11" s="9" t="str">
        <f aca="false">IF($A11="","",IF(OR(LEN(TRIM(B11))=0,B11="NEEDS OWNER INPUT"),"What it does; ","")&amp;IF(OR(LEN(TRIM(D11))=0,D11="NEEDS OWNER INPUT"),"Builder; ","")&amp;IF(OR(LEN(TRIM(G11))=0,G11="NEEDS OWNER INPUT"),"Data it uses; ","")&amp;IF(OR(LEN(TRIM(H11))=0,H11="NEEDS OWNER INPUT"),"Data it must never receive; ","")&amp;IF(OR(LEN(TRIM(I11))=0,I11="NEEDS OWNER INPUT"),"Checklist; ","")&amp;IF(OR(LEN(TRIM(J11))=0,J11="NEEDS OWNER INPUT"),"When it is wrong; ","")&amp;IF(AND(M11&lt;&gt;"Yes",OR(LEN(TRIM(E11))=0,E11="NEEDS OWNER INPUT")),"Sign-off owner; ","")&amp;IF(NOT(ISNUMBER(L11)),"Next review date; ",""))</f>
        <v/>
      </c>
      <c r="R11" s="14"/>
      <c r="S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4"/>
      <c r="M12" s="11"/>
      <c r="N12" s="11"/>
      <c r="O12" s="9" t="str">
        <f aca="false">IF($A12="","",IF(Q12="","Cleared","Not cleared"))</f>
        <v/>
      </c>
      <c r="P12" s="9" t="str">
        <f aca="true">IF($A12="","",IF(NOT(ISNUMBER(L12)),"No review date",IF(L12&lt;TODAY(),"Overdue",IF(L12-TODAY()&lt;=30,"Due within 30 days","OK"))))</f>
        <v/>
      </c>
      <c r="Q12" s="9" t="str">
        <f aca="false">IF($A12="","",IF(OR(LEN(TRIM(B12))=0,B12="NEEDS OWNER INPUT"),"What it does; ","")&amp;IF(OR(LEN(TRIM(D12))=0,D12="NEEDS OWNER INPUT"),"Builder; ","")&amp;IF(OR(LEN(TRIM(G12))=0,G12="NEEDS OWNER INPUT"),"Data it uses; ","")&amp;IF(OR(LEN(TRIM(H12))=0,H12="NEEDS OWNER INPUT"),"Data it must never receive; ","")&amp;IF(OR(LEN(TRIM(I12))=0,I12="NEEDS OWNER INPUT"),"Checklist; ","")&amp;IF(OR(LEN(TRIM(J12))=0,J12="NEEDS OWNER INPUT"),"When it is wrong; ","")&amp;IF(AND(M12&lt;&gt;"Yes",OR(LEN(TRIM(E12))=0,E12="NEEDS OWNER INPUT")),"Sign-off owner; ","")&amp;IF(NOT(ISNUMBER(L12)),"Next review date; ",""))</f>
        <v/>
      </c>
      <c r="R12" s="14"/>
      <c r="S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4"/>
      <c r="M13" s="11"/>
      <c r="N13" s="11"/>
      <c r="O13" s="9" t="str">
        <f aca="false">IF($A13="","",IF(Q13="","Cleared","Not cleared"))</f>
        <v/>
      </c>
      <c r="P13" s="9" t="str">
        <f aca="true">IF($A13="","",IF(NOT(ISNUMBER(L13)),"No review date",IF(L13&lt;TODAY(),"Overdue",IF(L13-TODAY()&lt;=30,"Due within 30 days","OK"))))</f>
        <v/>
      </c>
      <c r="Q13" s="9" t="str">
        <f aca="false">IF($A13="","",IF(OR(LEN(TRIM(B13))=0,B13="NEEDS OWNER INPUT"),"What it does; ","")&amp;IF(OR(LEN(TRIM(D13))=0,D13="NEEDS OWNER INPUT"),"Builder; ","")&amp;IF(OR(LEN(TRIM(G13))=0,G13="NEEDS OWNER INPUT"),"Data it uses; ","")&amp;IF(OR(LEN(TRIM(H13))=0,H13="NEEDS OWNER INPUT"),"Data it must never receive; ","")&amp;IF(OR(LEN(TRIM(I13))=0,I13="NEEDS OWNER INPUT"),"Checklist; ","")&amp;IF(OR(LEN(TRIM(J13))=0,J13="NEEDS OWNER INPUT"),"When it is wrong; ","")&amp;IF(AND(M13&lt;&gt;"Yes",OR(LEN(TRIM(E13))=0,E13="NEEDS OWNER INPUT")),"Sign-off owner; ","")&amp;IF(NOT(ISNUMBER(L13)),"Next review date; ",""))</f>
        <v/>
      </c>
      <c r="R13" s="14"/>
      <c r="S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4"/>
      <c r="M14" s="11"/>
      <c r="N14" s="11"/>
      <c r="O14" s="9" t="str">
        <f aca="false">IF($A14="","",IF(Q14="","Cleared","Not cleared"))</f>
        <v/>
      </c>
      <c r="P14" s="9" t="str">
        <f aca="true">IF($A14="","",IF(NOT(ISNUMBER(L14)),"No review date",IF(L14&lt;TODAY(),"Overdue",IF(L14-TODAY()&lt;=30,"Due within 30 days","OK"))))</f>
        <v/>
      </c>
      <c r="Q14" s="9" t="str">
        <f aca="false">IF($A14="","",IF(OR(LEN(TRIM(B14))=0,B14="NEEDS OWNER INPUT"),"What it does; ","")&amp;IF(OR(LEN(TRIM(D14))=0,D14="NEEDS OWNER INPUT"),"Builder; ","")&amp;IF(OR(LEN(TRIM(G14))=0,G14="NEEDS OWNER INPUT"),"Data it uses; ","")&amp;IF(OR(LEN(TRIM(H14))=0,H14="NEEDS OWNER INPUT"),"Data it must never receive; ","")&amp;IF(OR(LEN(TRIM(I14))=0,I14="NEEDS OWNER INPUT"),"Checklist; ","")&amp;IF(OR(LEN(TRIM(J14))=0,J14="NEEDS OWNER INPUT"),"When it is wrong; ","")&amp;IF(AND(M14&lt;&gt;"Yes",OR(LEN(TRIM(E14))=0,E14="NEEDS OWNER INPUT")),"Sign-off owner; ","")&amp;IF(NOT(ISNUMBER(L14)),"Next review date; ",""))</f>
        <v/>
      </c>
      <c r="R14" s="14"/>
      <c r="S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4"/>
      <c r="M15" s="11"/>
      <c r="N15" s="11"/>
      <c r="O15" s="9" t="str">
        <f aca="false">IF($A15="","",IF(Q15="","Cleared","Not cleared"))</f>
        <v/>
      </c>
      <c r="P15" s="9" t="str">
        <f aca="true">IF($A15="","",IF(NOT(ISNUMBER(L15)),"No review date",IF(L15&lt;TODAY(),"Overdue",IF(L15-TODAY()&lt;=30,"Due within 30 days","OK"))))</f>
        <v/>
      </c>
      <c r="Q15" s="9" t="str">
        <f aca="false">IF($A15="","",IF(OR(LEN(TRIM(B15))=0,B15="NEEDS OWNER INPUT"),"What it does; ","")&amp;IF(OR(LEN(TRIM(D15))=0,D15="NEEDS OWNER INPUT"),"Builder; ","")&amp;IF(OR(LEN(TRIM(G15))=0,G15="NEEDS OWNER INPUT"),"Data it uses; ","")&amp;IF(OR(LEN(TRIM(H15))=0,H15="NEEDS OWNER INPUT"),"Data it must never receive; ","")&amp;IF(OR(LEN(TRIM(I15))=0,I15="NEEDS OWNER INPUT"),"Checklist; ","")&amp;IF(OR(LEN(TRIM(J15))=0,J15="NEEDS OWNER INPUT"),"When it is wrong; ","")&amp;IF(AND(M15&lt;&gt;"Yes",OR(LEN(TRIM(E15))=0,E15="NEEDS OWNER INPUT")),"Sign-off owner; ","")&amp;IF(NOT(ISNUMBER(L15)),"Next review date; ",""))</f>
        <v/>
      </c>
      <c r="R15" s="14"/>
      <c r="S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4"/>
      <c r="M16" s="11"/>
      <c r="N16" s="11"/>
      <c r="O16" s="9" t="str">
        <f aca="false">IF($A16="","",IF(Q16="","Cleared","Not cleared"))</f>
        <v/>
      </c>
      <c r="P16" s="9" t="str">
        <f aca="true">IF($A16="","",IF(NOT(ISNUMBER(L16)),"No review date",IF(L16&lt;TODAY(),"Overdue",IF(L16-TODAY()&lt;=30,"Due within 30 days","OK"))))</f>
        <v/>
      </c>
      <c r="Q16" s="9" t="str">
        <f aca="false">IF($A16="","",IF(OR(LEN(TRIM(B16))=0,B16="NEEDS OWNER INPUT"),"What it does; ","")&amp;IF(OR(LEN(TRIM(D16))=0,D16="NEEDS OWNER INPUT"),"Builder; ","")&amp;IF(OR(LEN(TRIM(G16))=0,G16="NEEDS OWNER INPUT"),"Data it uses; ","")&amp;IF(OR(LEN(TRIM(H16))=0,H16="NEEDS OWNER INPUT"),"Data it must never receive; ","")&amp;IF(OR(LEN(TRIM(I16))=0,I16="NEEDS OWNER INPUT"),"Checklist; ","")&amp;IF(OR(LEN(TRIM(J16))=0,J16="NEEDS OWNER INPUT"),"When it is wrong; ","")&amp;IF(AND(M16&lt;&gt;"Yes",OR(LEN(TRIM(E16))=0,E16="NEEDS OWNER INPUT")),"Sign-off owner; ","")&amp;IF(NOT(ISNUMBER(L16)),"Next review date; ",""))</f>
        <v/>
      </c>
      <c r="R16" s="14"/>
      <c r="S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4"/>
      <c r="M17" s="11"/>
      <c r="N17" s="11"/>
      <c r="O17" s="9" t="str">
        <f aca="false">IF($A17="","",IF(Q17="","Cleared","Not cleared"))</f>
        <v/>
      </c>
      <c r="P17" s="9" t="str">
        <f aca="true">IF($A17="","",IF(NOT(ISNUMBER(L17)),"No review date",IF(L17&lt;TODAY(),"Overdue",IF(L17-TODAY()&lt;=30,"Due within 30 days","OK"))))</f>
        <v/>
      </c>
      <c r="Q17" s="9" t="str">
        <f aca="false">IF($A17="","",IF(OR(LEN(TRIM(B17))=0,B17="NEEDS OWNER INPUT"),"What it does; ","")&amp;IF(OR(LEN(TRIM(D17))=0,D17="NEEDS OWNER INPUT"),"Builder; ","")&amp;IF(OR(LEN(TRIM(G17))=0,G17="NEEDS OWNER INPUT"),"Data it uses; ","")&amp;IF(OR(LEN(TRIM(H17))=0,H17="NEEDS OWNER INPUT"),"Data it must never receive; ","")&amp;IF(OR(LEN(TRIM(I17))=0,I17="NEEDS OWNER INPUT"),"Checklist; ","")&amp;IF(OR(LEN(TRIM(J17))=0,J17="NEEDS OWNER INPUT"),"When it is wrong; ","")&amp;IF(AND(M17&lt;&gt;"Yes",OR(LEN(TRIM(E17))=0,E17="NEEDS OWNER INPUT")),"Sign-off owner; ","")&amp;IF(NOT(ISNUMBER(L17)),"Next review date; ",""))</f>
        <v/>
      </c>
      <c r="R17" s="14"/>
      <c r="S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4"/>
      <c r="M18" s="11"/>
      <c r="N18" s="11"/>
      <c r="O18" s="9" t="str">
        <f aca="false">IF($A18="","",IF(Q18="","Cleared","Not cleared"))</f>
        <v/>
      </c>
      <c r="P18" s="9" t="str">
        <f aca="true">IF($A18="","",IF(NOT(ISNUMBER(L18)),"No review date",IF(L18&lt;TODAY(),"Overdue",IF(L18-TODAY()&lt;=30,"Due within 30 days","OK"))))</f>
        <v/>
      </c>
      <c r="Q18" s="9" t="str">
        <f aca="false">IF($A18="","",IF(OR(LEN(TRIM(B18))=0,B18="NEEDS OWNER INPUT"),"What it does; ","")&amp;IF(OR(LEN(TRIM(D18))=0,D18="NEEDS OWNER INPUT"),"Builder; ","")&amp;IF(OR(LEN(TRIM(G18))=0,G18="NEEDS OWNER INPUT"),"Data it uses; ","")&amp;IF(OR(LEN(TRIM(H18))=0,H18="NEEDS OWNER INPUT"),"Data it must never receive; ","")&amp;IF(OR(LEN(TRIM(I18))=0,I18="NEEDS OWNER INPUT"),"Checklist; ","")&amp;IF(OR(LEN(TRIM(J18))=0,J18="NEEDS OWNER INPUT"),"When it is wrong; ","")&amp;IF(AND(M18&lt;&gt;"Yes",OR(LEN(TRIM(E18))=0,E18="NEEDS OWNER INPUT")),"Sign-off owner; ","")&amp;IF(NOT(ISNUMBER(L18)),"Next review date; ",""))</f>
        <v/>
      </c>
      <c r="R18" s="14"/>
      <c r="S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4"/>
      <c r="M19" s="11"/>
      <c r="N19" s="11"/>
      <c r="O19" s="9" t="str">
        <f aca="false">IF($A19="","",IF(Q19="","Cleared","Not cleared"))</f>
        <v/>
      </c>
      <c r="P19" s="9" t="str">
        <f aca="true">IF($A19="","",IF(NOT(ISNUMBER(L19)),"No review date",IF(L19&lt;TODAY(),"Overdue",IF(L19-TODAY()&lt;=30,"Due within 30 days","OK"))))</f>
        <v/>
      </c>
      <c r="Q19" s="9" t="str">
        <f aca="false">IF($A19="","",IF(OR(LEN(TRIM(B19))=0,B19="NEEDS OWNER INPUT"),"What it does; ","")&amp;IF(OR(LEN(TRIM(D19))=0,D19="NEEDS OWNER INPUT"),"Builder; ","")&amp;IF(OR(LEN(TRIM(G19))=0,G19="NEEDS OWNER INPUT"),"Data it uses; ","")&amp;IF(OR(LEN(TRIM(H19))=0,H19="NEEDS OWNER INPUT"),"Data it must never receive; ","")&amp;IF(OR(LEN(TRIM(I19))=0,I19="NEEDS OWNER INPUT"),"Checklist; ","")&amp;IF(OR(LEN(TRIM(J19))=0,J19="NEEDS OWNER INPUT"),"When it is wrong; ","")&amp;IF(AND(M19&lt;&gt;"Yes",OR(LEN(TRIM(E19))=0,E19="NEEDS OWNER INPUT")),"Sign-off owner; ","")&amp;IF(NOT(ISNUMBER(L19)),"Next review date; ",""))</f>
        <v/>
      </c>
      <c r="R19" s="14"/>
      <c r="S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4"/>
      <c r="M20" s="11"/>
      <c r="N20" s="11"/>
      <c r="O20" s="9" t="str">
        <f aca="false">IF($A20="","",IF(Q20="","Cleared","Not cleared"))</f>
        <v/>
      </c>
      <c r="P20" s="9" t="str">
        <f aca="true">IF($A20="","",IF(NOT(ISNUMBER(L20)),"No review date",IF(L20&lt;TODAY(),"Overdue",IF(L20-TODAY()&lt;=30,"Due within 30 days","OK"))))</f>
        <v/>
      </c>
      <c r="Q20" s="9" t="str">
        <f aca="false">IF($A20="","",IF(OR(LEN(TRIM(B20))=0,B20="NEEDS OWNER INPUT"),"What it does; ","")&amp;IF(OR(LEN(TRIM(D20))=0,D20="NEEDS OWNER INPUT"),"Builder; ","")&amp;IF(OR(LEN(TRIM(G20))=0,G20="NEEDS OWNER INPUT"),"Data it uses; ","")&amp;IF(OR(LEN(TRIM(H20))=0,H20="NEEDS OWNER INPUT"),"Data it must never receive; ","")&amp;IF(OR(LEN(TRIM(I20))=0,I20="NEEDS OWNER INPUT"),"Checklist; ","")&amp;IF(OR(LEN(TRIM(J20))=0,J20="NEEDS OWNER INPUT"),"When it is wrong; ","")&amp;IF(AND(M20&lt;&gt;"Yes",OR(LEN(TRIM(E20))=0,E20="NEEDS OWNER INPUT")),"Sign-off owner; ","")&amp;IF(NOT(ISNUMBER(L20)),"Next review date; ",""))</f>
        <v/>
      </c>
      <c r="R20" s="14"/>
      <c r="S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4"/>
      <c r="M21" s="11"/>
      <c r="N21" s="11"/>
      <c r="O21" s="9" t="str">
        <f aca="false">IF($A21="","",IF(Q21="","Cleared","Not cleared"))</f>
        <v/>
      </c>
      <c r="P21" s="9" t="str">
        <f aca="true">IF($A21="","",IF(NOT(ISNUMBER(L21)),"No review date",IF(L21&lt;TODAY(),"Overdue",IF(L21-TODAY()&lt;=30,"Due within 30 days","OK"))))</f>
        <v/>
      </c>
      <c r="Q21" s="9" t="str">
        <f aca="false">IF($A21="","",IF(OR(LEN(TRIM(B21))=0,B21="NEEDS OWNER INPUT"),"What it does; ","")&amp;IF(OR(LEN(TRIM(D21))=0,D21="NEEDS OWNER INPUT"),"Builder; ","")&amp;IF(OR(LEN(TRIM(G21))=0,G21="NEEDS OWNER INPUT"),"Data it uses; ","")&amp;IF(OR(LEN(TRIM(H21))=0,H21="NEEDS OWNER INPUT"),"Data it must never receive; ","")&amp;IF(OR(LEN(TRIM(I21))=0,I21="NEEDS OWNER INPUT"),"Checklist; ","")&amp;IF(OR(LEN(TRIM(J21))=0,J21="NEEDS OWNER INPUT"),"When it is wrong; ","")&amp;IF(AND(M21&lt;&gt;"Yes",OR(LEN(TRIM(E21))=0,E21="NEEDS OWNER INPUT")),"Sign-off owner; ","")&amp;IF(NOT(ISNUMBER(L21)),"Next review date; ",""))</f>
        <v/>
      </c>
      <c r="R21" s="14"/>
      <c r="S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4"/>
      <c r="M22" s="11"/>
      <c r="N22" s="11"/>
      <c r="O22" s="9" t="str">
        <f aca="false">IF($A22="","",IF(Q22="","Cleared","Not cleared"))</f>
        <v/>
      </c>
      <c r="P22" s="9" t="str">
        <f aca="true">IF($A22="","",IF(NOT(ISNUMBER(L22)),"No review date",IF(L22&lt;TODAY(),"Overdue",IF(L22-TODAY()&lt;=30,"Due within 30 days","OK"))))</f>
        <v/>
      </c>
      <c r="Q22" s="9" t="str">
        <f aca="false">IF($A22="","",IF(OR(LEN(TRIM(B22))=0,B22="NEEDS OWNER INPUT"),"What it does; ","")&amp;IF(OR(LEN(TRIM(D22))=0,D22="NEEDS OWNER INPUT"),"Builder; ","")&amp;IF(OR(LEN(TRIM(G22))=0,G22="NEEDS OWNER INPUT"),"Data it uses; ","")&amp;IF(OR(LEN(TRIM(H22))=0,H22="NEEDS OWNER INPUT"),"Data it must never receive; ","")&amp;IF(OR(LEN(TRIM(I22))=0,I22="NEEDS OWNER INPUT"),"Checklist; ","")&amp;IF(OR(LEN(TRIM(J22))=0,J22="NEEDS OWNER INPUT"),"When it is wrong; ","")&amp;IF(AND(M22&lt;&gt;"Yes",OR(LEN(TRIM(E22))=0,E22="NEEDS OWNER INPUT")),"Sign-off owner; ","")&amp;IF(NOT(ISNUMBER(L22)),"Next review date; ",""))</f>
        <v/>
      </c>
      <c r="R22" s="14"/>
      <c r="S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4"/>
      <c r="M23" s="11"/>
      <c r="N23" s="11"/>
      <c r="O23" s="9" t="str">
        <f aca="false">IF($A23="","",IF(Q23="","Cleared","Not cleared"))</f>
        <v/>
      </c>
      <c r="P23" s="9" t="str">
        <f aca="true">IF($A23="","",IF(NOT(ISNUMBER(L23)),"No review date",IF(L23&lt;TODAY(),"Overdue",IF(L23-TODAY()&lt;=30,"Due within 30 days","OK"))))</f>
        <v/>
      </c>
      <c r="Q23" s="9" t="str">
        <f aca="false">IF($A23="","",IF(OR(LEN(TRIM(B23))=0,B23="NEEDS OWNER INPUT"),"What it does; ","")&amp;IF(OR(LEN(TRIM(D23))=0,D23="NEEDS OWNER INPUT"),"Builder; ","")&amp;IF(OR(LEN(TRIM(G23))=0,G23="NEEDS OWNER INPUT"),"Data it uses; ","")&amp;IF(OR(LEN(TRIM(H23))=0,H23="NEEDS OWNER INPUT"),"Data it must never receive; ","")&amp;IF(OR(LEN(TRIM(I23))=0,I23="NEEDS OWNER INPUT"),"Checklist; ","")&amp;IF(OR(LEN(TRIM(J23))=0,J23="NEEDS OWNER INPUT"),"When it is wrong; ","")&amp;IF(AND(M23&lt;&gt;"Yes",OR(LEN(TRIM(E23))=0,E23="NEEDS OWNER INPUT")),"Sign-off owner; ","")&amp;IF(NOT(ISNUMBER(L23)),"Next review date; ",""))</f>
        <v/>
      </c>
      <c r="R23" s="14"/>
      <c r="S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4"/>
      <c r="M24" s="11"/>
      <c r="N24" s="11"/>
      <c r="O24" s="9" t="str">
        <f aca="false">IF($A24="","",IF(Q24="","Cleared","Not cleared"))</f>
        <v/>
      </c>
      <c r="P24" s="9" t="str">
        <f aca="true">IF($A24="","",IF(NOT(ISNUMBER(L24)),"No review date",IF(L24&lt;TODAY(),"Overdue",IF(L24-TODAY()&lt;=30,"Due within 30 days","OK"))))</f>
        <v/>
      </c>
      <c r="Q24" s="9" t="str">
        <f aca="false">IF($A24="","",IF(OR(LEN(TRIM(B24))=0,B24="NEEDS OWNER INPUT"),"What it does; ","")&amp;IF(OR(LEN(TRIM(D24))=0,D24="NEEDS OWNER INPUT"),"Builder; ","")&amp;IF(OR(LEN(TRIM(G24))=0,G24="NEEDS OWNER INPUT"),"Data it uses; ","")&amp;IF(OR(LEN(TRIM(H24))=0,H24="NEEDS OWNER INPUT"),"Data it must never receive; ","")&amp;IF(OR(LEN(TRIM(I24))=0,I24="NEEDS OWNER INPUT"),"Checklist; ","")&amp;IF(OR(LEN(TRIM(J24))=0,J24="NEEDS OWNER INPUT"),"When it is wrong; ","")&amp;IF(AND(M24&lt;&gt;"Yes",OR(LEN(TRIM(E24))=0,E24="NEEDS OWNER INPUT")),"Sign-off owner; ","")&amp;IF(NOT(ISNUMBER(L24)),"Next review date; ",""))</f>
        <v/>
      </c>
      <c r="R24" s="14"/>
      <c r="S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4"/>
      <c r="M25" s="11"/>
      <c r="N25" s="11"/>
      <c r="O25" s="9" t="str">
        <f aca="false">IF($A25="","",IF(Q25="","Cleared","Not cleared"))</f>
        <v/>
      </c>
      <c r="P25" s="9" t="str">
        <f aca="true">IF($A25="","",IF(NOT(ISNUMBER(L25)),"No review date",IF(L25&lt;TODAY(),"Overdue",IF(L25-TODAY()&lt;=30,"Due within 30 days","OK"))))</f>
        <v/>
      </c>
      <c r="Q25" s="9" t="str">
        <f aca="false">IF($A25="","",IF(OR(LEN(TRIM(B25))=0,B25="NEEDS OWNER INPUT"),"What it does; ","")&amp;IF(OR(LEN(TRIM(D25))=0,D25="NEEDS OWNER INPUT"),"Builder; ","")&amp;IF(OR(LEN(TRIM(G25))=0,G25="NEEDS OWNER INPUT"),"Data it uses; ","")&amp;IF(OR(LEN(TRIM(H25))=0,H25="NEEDS OWNER INPUT"),"Data it must never receive; ","")&amp;IF(OR(LEN(TRIM(I25))=0,I25="NEEDS OWNER INPUT"),"Checklist; ","")&amp;IF(OR(LEN(TRIM(J25))=0,J25="NEEDS OWNER INPUT"),"When it is wrong; ","")&amp;IF(AND(M25&lt;&gt;"Yes",OR(LEN(TRIM(E25))=0,E25="NEEDS OWNER INPUT")),"Sign-off owner; ","")&amp;IF(NOT(ISNUMBER(L25)),"Next review date; ",""))</f>
        <v/>
      </c>
      <c r="R25" s="14"/>
      <c r="S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4"/>
      <c r="M26" s="11"/>
      <c r="N26" s="11"/>
      <c r="O26" s="9" t="str">
        <f aca="false">IF($A26="","",IF(Q26="","Cleared","Not cleared"))</f>
        <v/>
      </c>
      <c r="P26" s="9" t="str">
        <f aca="true">IF($A26="","",IF(NOT(ISNUMBER(L26)),"No review date",IF(L26&lt;TODAY(),"Overdue",IF(L26-TODAY()&lt;=30,"Due within 30 days","OK"))))</f>
        <v/>
      </c>
      <c r="Q26" s="9" t="str">
        <f aca="false">IF($A26="","",IF(OR(LEN(TRIM(B26))=0,B26="NEEDS OWNER INPUT"),"What it does; ","")&amp;IF(OR(LEN(TRIM(D26))=0,D26="NEEDS OWNER INPUT"),"Builder; ","")&amp;IF(OR(LEN(TRIM(G26))=0,G26="NEEDS OWNER INPUT"),"Data it uses; ","")&amp;IF(OR(LEN(TRIM(H26))=0,H26="NEEDS OWNER INPUT"),"Data it must never receive; ","")&amp;IF(OR(LEN(TRIM(I26))=0,I26="NEEDS OWNER INPUT"),"Checklist; ","")&amp;IF(OR(LEN(TRIM(J26))=0,J26="NEEDS OWNER INPUT"),"When it is wrong; ","")&amp;IF(AND(M26&lt;&gt;"Yes",OR(LEN(TRIM(E26))=0,E26="NEEDS OWNER INPUT")),"Sign-off owner; ","")&amp;IF(NOT(ISNUMBER(L26)),"Next review date; ",""))</f>
        <v/>
      </c>
      <c r="R26" s="14"/>
      <c r="S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4"/>
      <c r="M27" s="11"/>
      <c r="N27" s="11"/>
      <c r="O27" s="9" t="str">
        <f aca="false">IF($A27="","",IF(Q27="","Cleared","Not cleared"))</f>
        <v/>
      </c>
      <c r="P27" s="9" t="str">
        <f aca="true">IF($A27="","",IF(NOT(ISNUMBER(L27)),"No review date",IF(L27&lt;TODAY(),"Overdue",IF(L27-TODAY()&lt;=30,"Due within 30 days","OK"))))</f>
        <v/>
      </c>
      <c r="Q27" s="9" t="str">
        <f aca="false">IF($A27="","",IF(OR(LEN(TRIM(B27))=0,B27="NEEDS OWNER INPUT"),"What it does; ","")&amp;IF(OR(LEN(TRIM(D27))=0,D27="NEEDS OWNER INPUT"),"Builder; ","")&amp;IF(OR(LEN(TRIM(G27))=0,G27="NEEDS OWNER INPUT"),"Data it uses; ","")&amp;IF(OR(LEN(TRIM(H27))=0,H27="NEEDS OWNER INPUT"),"Data it must never receive; ","")&amp;IF(OR(LEN(TRIM(I27))=0,I27="NEEDS OWNER INPUT"),"Checklist; ","")&amp;IF(OR(LEN(TRIM(J27))=0,J27="NEEDS OWNER INPUT"),"When it is wrong; ","")&amp;IF(AND(M27&lt;&gt;"Yes",OR(LEN(TRIM(E27))=0,E27="NEEDS OWNER INPUT")),"Sign-off owner; ","")&amp;IF(NOT(ISNUMBER(L27)),"Next review date; ",""))</f>
        <v/>
      </c>
      <c r="R27" s="14"/>
      <c r="S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4"/>
      <c r="M28" s="11"/>
      <c r="N28" s="11"/>
      <c r="O28" s="9" t="str">
        <f aca="false">IF($A28="","",IF(Q28="","Cleared","Not cleared"))</f>
        <v/>
      </c>
      <c r="P28" s="9" t="str">
        <f aca="true">IF($A28="","",IF(NOT(ISNUMBER(L28)),"No review date",IF(L28&lt;TODAY(),"Overdue",IF(L28-TODAY()&lt;=30,"Due within 30 days","OK"))))</f>
        <v/>
      </c>
      <c r="Q28" s="9" t="str">
        <f aca="false">IF($A28="","",IF(OR(LEN(TRIM(B28))=0,B28="NEEDS OWNER INPUT"),"What it does; ","")&amp;IF(OR(LEN(TRIM(D28))=0,D28="NEEDS OWNER INPUT"),"Builder; ","")&amp;IF(OR(LEN(TRIM(G28))=0,G28="NEEDS OWNER INPUT"),"Data it uses; ","")&amp;IF(OR(LEN(TRIM(H28))=0,H28="NEEDS OWNER INPUT"),"Data it must never receive; ","")&amp;IF(OR(LEN(TRIM(I28))=0,I28="NEEDS OWNER INPUT"),"Checklist; ","")&amp;IF(OR(LEN(TRIM(J28))=0,J28="NEEDS OWNER INPUT"),"When it is wrong; ","")&amp;IF(AND(M28&lt;&gt;"Yes",OR(LEN(TRIM(E28))=0,E28="NEEDS OWNER INPUT")),"Sign-off owner; ","")&amp;IF(NOT(ISNUMBER(L28)),"Next review date; ",""))</f>
        <v/>
      </c>
      <c r="R28" s="14"/>
      <c r="S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4"/>
      <c r="M29" s="11"/>
      <c r="N29" s="11"/>
      <c r="O29" s="9" t="str">
        <f aca="false">IF($A29="","",IF(Q29="","Cleared","Not cleared"))</f>
        <v/>
      </c>
      <c r="P29" s="9" t="str">
        <f aca="true">IF($A29="","",IF(NOT(ISNUMBER(L29)),"No review date",IF(L29&lt;TODAY(),"Overdue",IF(L29-TODAY()&lt;=30,"Due within 30 days","OK"))))</f>
        <v/>
      </c>
      <c r="Q29" s="9" t="str">
        <f aca="false">IF($A29="","",IF(OR(LEN(TRIM(B29))=0,B29="NEEDS OWNER INPUT"),"What it does; ","")&amp;IF(OR(LEN(TRIM(D29))=0,D29="NEEDS OWNER INPUT"),"Builder; ","")&amp;IF(OR(LEN(TRIM(G29))=0,G29="NEEDS OWNER INPUT"),"Data it uses; ","")&amp;IF(OR(LEN(TRIM(H29))=0,H29="NEEDS OWNER INPUT"),"Data it must never receive; ","")&amp;IF(OR(LEN(TRIM(I29))=0,I29="NEEDS OWNER INPUT"),"Checklist; ","")&amp;IF(OR(LEN(TRIM(J29))=0,J29="NEEDS OWNER INPUT"),"When it is wrong; ","")&amp;IF(AND(M29&lt;&gt;"Yes",OR(LEN(TRIM(E29))=0,E29="NEEDS OWNER INPUT")),"Sign-off owner; ","")&amp;IF(NOT(ISNUMBER(L29)),"Next review date; ",""))</f>
        <v/>
      </c>
      <c r="R29" s="14"/>
      <c r="S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4"/>
      <c r="M30" s="11"/>
      <c r="N30" s="11"/>
      <c r="O30" s="9" t="str">
        <f aca="false">IF($A30="","",IF(Q30="","Cleared","Not cleared"))</f>
        <v/>
      </c>
      <c r="P30" s="9" t="str">
        <f aca="true">IF($A30="","",IF(NOT(ISNUMBER(L30)),"No review date",IF(L30&lt;TODAY(),"Overdue",IF(L30-TODAY()&lt;=30,"Due within 30 days","OK"))))</f>
        <v/>
      </c>
      <c r="Q30" s="9" t="str">
        <f aca="false">IF($A30="","",IF(OR(LEN(TRIM(B30))=0,B30="NEEDS OWNER INPUT"),"What it does; ","")&amp;IF(OR(LEN(TRIM(D30))=0,D30="NEEDS OWNER INPUT"),"Builder; ","")&amp;IF(OR(LEN(TRIM(G30))=0,G30="NEEDS OWNER INPUT"),"Data it uses; ","")&amp;IF(OR(LEN(TRIM(H30))=0,H30="NEEDS OWNER INPUT"),"Data it must never receive; ","")&amp;IF(OR(LEN(TRIM(I30))=0,I30="NEEDS OWNER INPUT"),"Checklist; ","")&amp;IF(OR(LEN(TRIM(J30))=0,J30="NEEDS OWNER INPUT"),"When it is wrong; ","")&amp;IF(AND(M30&lt;&gt;"Yes",OR(LEN(TRIM(E30))=0,E30="NEEDS OWNER INPUT")),"Sign-off owner; ","")&amp;IF(NOT(ISNUMBER(L30)),"Next review date; ",""))</f>
        <v/>
      </c>
      <c r="R30" s="14"/>
      <c r="S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4"/>
      <c r="M31" s="11"/>
      <c r="N31" s="11"/>
      <c r="O31" s="9" t="str">
        <f aca="false">IF($A31="","",IF(Q31="","Cleared","Not cleared"))</f>
        <v/>
      </c>
      <c r="P31" s="9" t="str">
        <f aca="true">IF($A31="","",IF(NOT(ISNUMBER(L31)),"No review date",IF(L31&lt;TODAY(),"Overdue",IF(L31-TODAY()&lt;=30,"Due within 30 days","OK"))))</f>
        <v/>
      </c>
      <c r="Q31" s="9" t="str">
        <f aca="false">IF($A31="","",IF(OR(LEN(TRIM(B31))=0,B31="NEEDS OWNER INPUT"),"What it does; ","")&amp;IF(OR(LEN(TRIM(D31))=0,D31="NEEDS OWNER INPUT"),"Builder; ","")&amp;IF(OR(LEN(TRIM(G31))=0,G31="NEEDS OWNER INPUT"),"Data it uses; ","")&amp;IF(OR(LEN(TRIM(H31))=0,H31="NEEDS OWNER INPUT"),"Data it must never receive; ","")&amp;IF(OR(LEN(TRIM(I31))=0,I31="NEEDS OWNER INPUT"),"Checklist; ","")&amp;IF(OR(LEN(TRIM(J31))=0,J31="NEEDS OWNER INPUT"),"When it is wrong; ","")&amp;IF(AND(M31&lt;&gt;"Yes",OR(LEN(TRIM(E31))=0,E31="NEEDS OWNER INPUT")),"Sign-off owner; ","")&amp;IF(NOT(ISNUMBER(L31)),"Next review date; ",""))</f>
        <v/>
      </c>
      <c r="R31" s="14"/>
      <c r="S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4"/>
      <c r="M32" s="11"/>
      <c r="N32" s="11"/>
      <c r="O32" s="9" t="str">
        <f aca="false">IF($A32="","",IF(Q32="","Cleared","Not cleared"))</f>
        <v/>
      </c>
      <c r="P32" s="9" t="str">
        <f aca="true">IF($A32="","",IF(NOT(ISNUMBER(L32)),"No review date",IF(L32&lt;TODAY(),"Overdue",IF(L32-TODAY()&lt;=30,"Due within 30 days","OK"))))</f>
        <v/>
      </c>
      <c r="Q32" s="9" t="str">
        <f aca="false">IF($A32="","",IF(OR(LEN(TRIM(B32))=0,B32="NEEDS OWNER INPUT"),"What it does; ","")&amp;IF(OR(LEN(TRIM(D32))=0,D32="NEEDS OWNER INPUT"),"Builder; ","")&amp;IF(OR(LEN(TRIM(G32))=0,G32="NEEDS OWNER INPUT"),"Data it uses; ","")&amp;IF(OR(LEN(TRIM(H32))=0,H32="NEEDS OWNER INPUT"),"Data it must never receive; ","")&amp;IF(OR(LEN(TRIM(I32))=0,I32="NEEDS OWNER INPUT"),"Checklist; ","")&amp;IF(OR(LEN(TRIM(J32))=0,J32="NEEDS OWNER INPUT"),"When it is wrong; ","")&amp;IF(AND(M32&lt;&gt;"Yes",OR(LEN(TRIM(E32))=0,E32="NEEDS OWNER INPUT")),"Sign-off owner; ","")&amp;IF(NOT(ISNUMBER(L32)),"Next review date; ",""))</f>
        <v/>
      </c>
      <c r="R32" s="14"/>
      <c r="S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4"/>
      <c r="M33" s="11"/>
      <c r="N33" s="11"/>
      <c r="O33" s="9" t="str">
        <f aca="false">IF($A33="","",IF(Q33="","Cleared","Not cleared"))</f>
        <v/>
      </c>
      <c r="P33" s="9" t="str">
        <f aca="true">IF($A33="","",IF(NOT(ISNUMBER(L33)),"No review date",IF(L33&lt;TODAY(),"Overdue",IF(L33-TODAY()&lt;=30,"Due within 30 days","OK"))))</f>
        <v/>
      </c>
      <c r="Q33" s="9" t="str">
        <f aca="false">IF($A33="","",IF(OR(LEN(TRIM(B33))=0,B33="NEEDS OWNER INPUT"),"What it does; ","")&amp;IF(OR(LEN(TRIM(D33))=0,D33="NEEDS OWNER INPUT"),"Builder; ","")&amp;IF(OR(LEN(TRIM(G33))=0,G33="NEEDS OWNER INPUT"),"Data it uses; ","")&amp;IF(OR(LEN(TRIM(H33))=0,H33="NEEDS OWNER INPUT"),"Data it must never receive; ","")&amp;IF(OR(LEN(TRIM(I33))=0,I33="NEEDS OWNER INPUT"),"Checklist; ","")&amp;IF(OR(LEN(TRIM(J33))=0,J33="NEEDS OWNER INPUT"),"When it is wrong; ","")&amp;IF(AND(M33&lt;&gt;"Yes",OR(LEN(TRIM(E33))=0,E33="NEEDS OWNER INPUT")),"Sign-off owner; ","")&amp;IF(NOT(ISNUMBER(L33)),"Next review date; ",""))</f>
        <v/>
      </c>
      <c r="R33" s="14"/>
      <c r="S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4"/>
      <c r="M34" s="11"/>
      <c r="N34" s="11"/>
      <c r="O34" s="9" t="str">
        <f aca="false">IF($A34="","",IF(Q34="","Cleared","Not cleared"))</f>
        <v/>
      </c>
      <c r="P34" s="9" t="str">
        <f aca="true">IF($A34="","",IF(NOT(ISNUMBER(L34)),"No review date",IF(L34&lt;TODAY(),"Overdue",IF(L34-TODAY()&lt;=30,"Due within 30 days","OK"))))</f>
        <v/>
      </c>
      <c r="Q34" s="9" t="str">
        <f aca="false">IF($A34="","",IF(OR(LEN(TRIM(B34))=0,B34="NEEDS OWNER INPUT"),"What it does; ","")&amp;IF(OR(LEN(TRIM(D34))=0,D34="NEEDS OWNER INPUT"),"Builder; ","")&amp;IF(OR(LEN(TRIM(G34))=0,G34="NEEDS OWNER INPUT"),"Data it uses; ","")&amp;IF(OR(LEN(TRIM(H34))=0,H34="NEEDS OWNER INPUT"),"Data it must never receive; ","")&amp;IF(OR(LEN(TRIM(I34))=0,I34="NEEDS OWNER INPUT"),"Checklist; ","")&amp;IF(OR(LEN(TRIM(J34))=0,J34="NEEDS OWNER INPUT"),"When it is wrong; ","")&amp;IF(AND(M34&lt;&gt;"Yes",OR(LEN(TRIM(E34))=0,E34="NEEDS OWNER INPUT")),"Sign-off owner; ","")&amp;IF(NOT(ISNUMBER(L34)),"Next review date; ",""))</f>
        <v/>
      </c>
      <c r="R34" s="14"/>
      <c r="S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4"/>
      <c r="M35" s="11"/>
      <c r="N35" s="11"/>
      <c r="O35" s="9" t="str">
        <f aca="false">IF($A35="","",IF(Q35="","Cleared","Not cleared"))</f>
        <v/>
      </c>
      <c r="P35" s="9" t="str">
        <f aca="true">IF($A35="","",IF(NOT(ISNUMBER(L35)),"No review date",IF(L35&lt;TODAY(),"Overdue",IF(L35-TODAY()&lt;=30,"Due within 30 days","OK"))))</f>
        <v/>
      </c>
      <c r="Q35" s="9" t="str">
        <f aca="false">IF($A35="","",IF(OR(LEN(TRIM(B35))=0,B35="NEEDS OWNER INPUT"),"What it does; ","")&amp;IF(OR(LEN(TRIM(D35))=0,D35="NEEDS OWNER INPUT"),"Builder; ","")&amp;IF(OR(LEN(TRIM(G35))=0,G35="NEEDS OWNER INPUT"),"Data it uses; ","")&amp;IF(OR(LEN(TRIM(H35))=0,H35="NEEDS OWNER INPUT"),"Data it must never receive; ","")&amp;IF(OR(LEN(TRIM(I35))=0,I35="NEEDS OWNER INPUT"),"Checklist; ","")&amp;IF(OR(LEN(TRIM(J35))=0,J35="NEEDS OWNER INPUT"),"When it is wrong; ","")&amp;IF(AND(M35&lt;&gt;"Yes",OR(LEN(TRIM(E35))=0,E35="NEEDS OWNER INPUT")),"Sign-off owner; ","")&amp;IF(NOT(ISNUMBER(L35)),"Next review date; ",""))</f>
        <v/>
      </c>
      <c r="R35" s="14"/>
      <c r="S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4"/>
      <c r="M36" s="11"/>
      <c r="N36" s="11"/>
      <c r="O36" s="9" t="str">
        <f aca="false">IF($A36="","",IF(Q36="","Cleared","Not cleared"))</f>
        <v/>
      </c>
      <c r="P36" s="9" t="str">
        <f aca="true">IF($A36="","",IF(NOT(ISNUMBER(L36)),"No review date",IF(L36&lt;TODAY(),"Overdue",IF(L36-TODAY()&lt;=30,"Due within 30 days","OK"))))</f>
        <v/>
      </c>
      <c r="Q36" s="9" t="str">
        <f aca="false">IF($A36="","",IF(OR(LEN(TRIM(B36))=0,B36="NEEDS OWNER INPUT"),"What it does; ","")&amp;IF(OR(LEN(TRIM(D36))=0,D36="NEEDS OWNER INPUT"),"Builder; ","")&amp;IF(OR(LEN(TRIM(G36))=0,G36="NEEDS OWNER INPUT"),"Data it uses; ","")&amp;IF(OR(LEN(TRIM(H36))=0,H36="NEEDS OWNER INPUT"),"Data it must never receive; ","")&amp;IF(OR(LEN(TRIM(I36))=0,I36="NEEDS OWNER INPUT"),"Checklist; ","")&amp;IF(OR(LEN(TRIM(J36))=0,J36="NEEDS OWNER INPUT"),"When it is wrong; ","")&amp;IF(AND(M36&lt;&gt;"Yes",OR(LEN(TRIM(E36))=0,E36="NEEDS OWNER INPUT")),"Sign-off owner; ","")&amp;IF(NOT(ISNUMBER(L36)),"Next review date; ",""))</f>
        <v/>
      </c>
      <c r="R36" s="14"/>
      <c r="S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4"/>
      <c r="M37" s="11"/>
      <c r="N37" s="11"/>
      <c r="O37" s="9" t="str">
        <f aca="false">IF($A37="","",IF(Q37="","Cleared","Not cleared"))</f>
        <v/>
      </c>
      <c r="P37" s="9" t="str">
        <f aca="true">IF($A37="","",IF(NOT(ISNUMBER(L37)),"No review date",IF(L37&lt;TODAY(),"Overdue",IF(L37-TODAY()&lt;=30,"Due within 30 days","OK"))))</f>
        <v/>
      </c>
      <c r="Q37" s="9" t="str">
        <f aca="false">IF($A37="","",IF(OR(LEN(TRIM(B37))=0,B37="NEEDS OWNER INPUT"),"What it does; ","")&amp;IF(OR(LEN(TRIM(D37))=0,D37="NEEDS OWNER INPUT"),"Builder; ","")&amp;IF(OR(LEN(TRIM(G37))=0,G37="NEEDS OWNER INPUT"),"Data it uses; ","")&amp;IF(OR(LEN(TRIM(H37))=0,H37="NEEDS OWNER INPUT"),"Data it must never receive; ","")&amp;IF(OR(LEN(TRIM(I37))=0,I37="NEEDS OWNER INPUT"),"Checklist; ","")&amp;IF(OR(LEN(TRIM(J37))=0,J37="NEEDS OWNER INPUT"),"When it is wrong; ","")&amp;IF(AND(M37&lt;&gt;"Yes",OR(LEN(TRIM(E37))=0,E37="NEEDS OWNER INPUT")),"Sign-off owner; ","")&amp;IF(NOT(ISNUMBER(L37)),"Next review date; ",""))</f>
        <v/>
      </c>
      <c r="R37" s="14"/>
      <c r="S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4"/>
      <c r="M38" s="11"/>
      <c r="N38" s="11"/>
      <c r="O38" s="9" t="str">
        <f aca="false">IF($A38="","",IF(Q38="","Cleared","Not cleared"))</f>
        <v/>
      </c>
      <c r="P38" s="9" t="str">
        <f aca="true">IF($A38="","",IF(NOT(ISNUMBER(L38)),"No review date",IF(L38&lt;TODAY(),"Overdue",IF(L38-TODAY()&lt;=30,"Due within 30 days","OK"))))</f>
        <v/>
      </c>
      <c r="Q38" s="9" t="str">
        <f aca="false">IF($A38="","",IF(OR(LEN(TRIM(B38))=0,B38="NEEDS OWNER INPUT"),"What it does; ","")&amp;IF(OR(LEN(TRIM(D38))=0,D38="NEEDS OWNER INPUT"),"Builder; ","")&amp;IF(OR(LEN(TRIM(G38))=0,G38="NEEDS OWNER INPUT"),"Data it uses; ","")&amp;IF(OR(LEN(TRIM(H38))=0,H38="NEEDS OWNER INPUT"),"Data it must never receive; ","")&amp;IF(OR(LEN(TRIM(I38))=0,I38="NEEDS OWNER INPUT"),"Checklist; ","")&amp;IF(OR(LEN(TRIM(J38))=0,J38="NEEDS OWNER INPUT"),"When it is wrong; ","")&amp;IF(AND(M38&lt;&gt;"Yes",OR(LEN(TRIM(E38))=0,E38="NEEDS OWNER INPUT")),"Sign-off owner; ","")&amp;IF(NOT(ISNUMBER(L38)),"Next review date; ",""))</f>
        <v/>
      </c>
      <c r="R38" s="14"/>
      <c r="S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4"/>
      <c r="M39" s="11"/>
      <c r="N39" s="11"/>
      <c r="O39" s="9" t="str">
        <f aca="false">IF($A39="","",IF(Q39="","Cleared","Not cleared"))</f>
        <v/>
      </c>
      <c r="P39" s="9" t="str">
        <f aca="true">IF($A39="","",IF(NOT(ISNUMBER(L39)),"No review date",IF(L39&lt;TODAY(),"Overdue",IF(L39-TODAY()&lt;=30,"Due within 30 days","OK"))))</f>
        <v/>
      </c>
      <c r="Q39" s="9" t="str">
        <f aca="false">IF($A39="","",IF(OR(LEN(TRIM(B39))=0,B39="NEEDS OWNER INPUT"),"What it does; ","")&amp;IF(OR(LEN(TRIM(D39))=0,D39="NEEDS OWNER INPUT"),"Builder; ","")&amp;IF(OR(LEN(TRIM(G39))=0,G39="NEEDS OWNER INPUT"),"Data it uses; ","")&amp;IF(OR(LEN(TRIM(H39))=0,H39="NEEDS OWNER INPUT"),"Data it must never receive; ","")&amp;IF(OR(LEN(TRIM(I39))=0,I39="NEEDS OWNER INPUT"),"Checklist; ","")&amp;IF(OR(LEN(TRIM(J39))=0,J39="NEEDS OWNER INPUT"),"When it is wrong; ","")&amp;IF(AND(M39&lt;&gt;"Yes",OR(LEN(TRIM(E39))=0,E39="NEEDS OWNER INPUT")),"Sign-off owner; ","")&amp;IF(NOT(ISNUMBER(L39)),"Next review date; ",""))</f>
        <v/>
      </c>
      <c r="R39" s="14"/>
      <c r="S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4"/>
      <c r="M40" s="11"/>
      <c r="N40" s="11"/>
      <c r="O40" s="9" t="str">
        <f aca="false">IF($A40="","",IF(Q40="","Cleared","Not cleared"))</f>
        <v/>
      </c>
      <c r="P40" s="9" t="str">
        <f aca="true">IF($A40="","",IF(NOT(ISNUMBER(L40)),"No review date",IF(L40&lt;TODAY(),"Overdue",IF(L40-TODAY()&lt;=30,"Due within 30 days","OK"))))</f>
        <v/>
      </c>
      <c r="Q40" s="9" t="str">
        <f aca="false">IF($A40="","",IF(OR(LEN(TRIM(B40))=0,B40="NEEDS OWNER INPUT"),"What it does; ","")&amp;IF(OR(LEN(TRIM(D40))=0,D40="NEEDS OWNER INPUT"),"Builder; ","")&amp;IF(OR(LEN(TRIM(G40))=0,G40="NEEDS OWNER INPUT"),"Data it uses; ","")&amp;IF(OR(LEN(TRIM(H40))=0,H40="NEEDS OWNER INPUT"),"Data it must never receive; ","")&amp;IF(OR(LEN(TRIM(I40))=0,I40="NEEDS OWNER INPUT"),"Checklist; ","")&amp;IF(OR(LEN(TRIM(J40))=0,J40="NEEDS OWNER INPUT"),"When it is wrong; ","")&amp;IF(AND(M40&lt;&gt;"Yes",OR(LEN(TRIM(E40))=0,E40="NEEDS OWNER INPUT")),"Sign-off owner; ","")&amp;IF(NOT(ISNUMBER(L40)),"Next review date; ",""))</f>
        <v/>
      </c>
      <c r="R40" s="14"/>
      <c r="S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4"/>
      <c r="M41" s="11"/>
      <c r="N41" s="11"/>
      <c r="O41" s="9" t="str">
        <f aca="false">IF($A41="","",IF(Q41="","Cleared","Not cleared"))</f>
        <v/>
      </c>
      <c r="P41" s="9" t="str">
        <f aca="true">IF($A41="","",IF(NOT(ISNUMBER(L41)),"No review date",IF(L41&lt;TODAY(),"Overdue",IF(L41-TODAY()&lt;=30,"Due within 30 days","OK"))))</f>
        <v/>
      </c>
      <c r="Q41" s="9" t="str">
        <f aca="false">IF($A41="","",IF(OR(LEN(TRIM(B41))=0,B41="NEEDS OWNER INPUT"),"What it does; ","")&amp;IF(OR(LEN(TRIM(D41))=0,D41="NEEDS OWNER INPUT"),"Builder; ","")&amp;IF(OR(LEN(TRIM(G41))=0,G41="NEEDS OWNER INPUT"),"Data it uses; ","")&amp;IF(OR(LEN(TRIM(H41))=0,H41="NEEDS OWNER INPUT"),"Data it must never receive; ","")&amp;IF(OR(LEN(TRIM(I41))=0,I41="NEEDS OWNER INPUT"),"Checklist; ","")&amp;IF(OR(LEN(TRIM(J41))=0,J41="NEEDS OWNER INPUT"),"When it is wrong; ","")&amp;IF(AND(M41&lt;&gt;"Yes",OR(LEN(TRIM(E41))=0,E41="NEEDS OWNER INPUT")),"Sign-off owner; ","")&amp;IF(NOT(ISNUMBER(L41)),"Next review date; ",""))</f>
        <v/>
      </c>
      <c r="R41" s="14"/>
      <c r="S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4"/>
      <c r="M42" s="11"/>
      <c r="N42" s="11"/>
      <c r="O42" s="9" t="str">
        <f aca="false">IF($A42="","",IF(Q42="","Cleared","Not cleared"))</f>
        <v/>
      </c>
      <c r="P42" s="9" t="str">
        <f aca="true">IF($A42="","",IF(NOT(ISNUMBER(L42)),"No review date",IF(L42&lt;TODAY(),"Overdue",IF(L42-TODAY()&lt;=30,"Due within 30 days","OK"))))</f>
        <v/>
      </c>
      <c r="Q42" s="9" t="str">
        <f aca="false">IF($A42="","",IF(OR(LEN(TRIM(B42))=0,B42="NEEDS OWNER INPUT"),"What it does; ","")&amp;IF(OR(LEN(TRIM(D42))=0,D42="NEEDS OWNER INPUT"),"Builder; ","")&amp;IF(OR(LEN(TRIM(G42))=0,G42="NEEDS OWNER INPUT"),"Data it uses; ","")&amp;IF(OR(LEN(TRIM(H42))=0,H42="NEEDS OWNER INPUT"),"Data it must never receive; ","")&amp;IF(OR(LEN(TRIM(I42))=0,I42="NEEDS OWNER INPUT"),"Checklist; ","")&amp;IF(OR(LEN(TRIM(J42))=0,J42="NEEDS OWNER INPUT"),"When it is wrong; ","")&amp;IF(AND(M42&lt;&gt;"Yes",OR(LEN(TRIM(E42))=0,E42="NEEDS OWNER INPUT")),"Sign-off owner; ","")&amp;IF(NOT(ISNUMBER(L42)),"Next review date; ",""))</f>
        <v/>
      </c>
      <c r="R42" s="14"/>
      <c r="S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4"/>
      <c r="M43" s="11"/>
      <c r="N43" s="11"/>
      <c r="O43" s="9" t="str">
        <f aca="false">IF($A43="","",IF(Q43="","Cleared","Not cleared"))</f>
        <v/>
      </c>
      <c r="P43" s="9" t="str">
        <f aca="true">IF($A43="","",IF(NOT(ISNUMBER(L43)),"No review date",IF(L43&lt;TODAY(),"Overdue",IF(L43-TODAY()&lt;=30,"Due within 30 days","OK"))))</f>
        <v/>
      </c>
      <c r="Q43" s="9" t="str">
        <f aca="false">IF($A43="","",IF(OR(LEN(TRIM(B43))=0,B43="NEEDS OWNER INPUT"),"What it does; ","")&amp;IF(OR(LEN(TRIM(D43))=0,D43="NEEDS OWNER INPUT"),"Builder; ","")&amp;IF(OR(LEN(TRIM(G43))=0,G43="NEEDS OWNER INPUT"),"Data it uses; ","")&amp;IF(OR(LEN(TRIM(H43))=0,H43="NEEDS OWNER INPUT"),"Data it must never receive; ","")&amp;IF(OR(LEN(TRIM(I43))=0,I43="NEEDS OWNER INPUT"),"Checklist; ","")&amp;IF(OR(LEN(TRIM(J43))=0,J43="NEEDS OWNER INPUT"),"When it is wrong; ","")&amp;IF(AND(M43&lt;&gt;"Yes",OR(LEN(TRIM(E43))=0,E43="NEEDS OWNER INPUT")),"Sign-off owner; ","")&amp;IF(NOT(ISNUMBER(L43)),"Next review date; ",""))</f>
        <v/>
      </c>
      <c r="R43" s="14"/>
      <c r="S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4"/>
      <c r="M44" s="11"/>
      <c r="N44" s="11"/>
      <c r="O44" s="9" t="str">
        <f aca="false">IF($A44="","",IF(Q44="","Cleared","Not cleared"))</f>
        <v/>
      </c>
      <c r="P44" s="9" t="str">
        <f aca="true">IF($A44="","",IF(NOT(ISNUMBER(L44)),"No review date",IF(L44&lt;TODAY(),"Overdue",IF(L44-TODAY()&lt;=30,"Due within 30 days","OK"))))</f>
        <v/>
      </c>
      <c r="Q44" s="9" t="str">
        <f aca="false">IF($A44="","",IF(OR(LEN(TRIM(B44))=0,B44="NEEDS OWNER INPUT"),"What it does; ","")&amp;IF(OR(LEN(TRIM(D44))=0,D44="NEEDS OWNER INPUT"),"Builder; ","")&amp;IF(OR(LEN(TRIM(G44))=0,G44="NEEDS OWNER INPUT"),"Data it uses; ","")&amp;IF(OR(LEN(TRIM(H44))=0,H44="NEEDS OWNER INPUT"),"Data it must never receive; ","")&amp;IF(OR(LEN(TRIM(I44))=0,I44="NEEDS OWNER INPUT"),"Checklist; ","")&amp;IF(OR(LEN(TRIM(J44))=0,J44="NEEDS OWNER INPUT"),"When it is wrong; ","")&amp;IF(AND(M44&lt;&gt;"Yes",OR(LEN(TRIM(E44))=0,E44="NEEDS OWNER INPUT")),"Sign-off owner; ","")&amp;IF(NOT(ISNUMBER(L44)),"Next review date; ",""))</f>
        <v/>
      </c>
      <c r="R44" s="14"/>
      <c r="S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4"/>
      <c r="M45" s="11"/>
      <c r="N45" s="11"/>
      <c r="O45" s="9" t="str">
        <f aca="false">IF($A45="","",IF(Q45="","Cleared","Not cleared"))</f>
        <v/>
      </c>
      <c r="P45" s="9" t="str">
        <f aca="true">IF($A45="","",IF(NOT(ISNUMBER(L45)),"No review date",IF(L45&lt;TODAY(),"Overdue",IF(L45-TODAY()&lt;=30,"Due within 30 days","OK"))))</f>
        <v/>
      </c>
      <c r="Q45" s="9" t="str">
        <f aca="false">IF($A45="","",IF(OR(LEN(TRIM(B45))=0,B45="NEEDS OWNER INPUT"),"What it does; ","")&amp;IF(OR(LEN(TRIM(D45))=0,D45="NEEDS OWNER INPUT"),"Builder; ","")&amp;IF(OR(LEN(TRIM(G45))=0,G45="NEEDS OWNER INPUT"),"Data it uses; ","")&amp;IF(OR(LEN(TRIM(H45))=0,H45="NEEDS OWNER INPUT"),"Data it must never receive; ","")&amp;IF(OR(LEN(TRIM(I45))=0,I45="NEEDS OWNER INPUT"),"Checklist; ","")&amp;IF(OR(LEN(TRIM(J45))=0,J45="NEEDS OWNER INPUT"),"When it is wrong; ","")&amp;IF(AND(M45&lt;&gt;"Yes",OR(LEN(TRIM(E45))=0,E45="NEEDS OWNER INPUT")),"Sign-off owner; ","")&amp;IF(NOT(ISNUMBER(L45)),"Next review date; ",""))</f>
        <v/>
      </c>
      <c r="R45" s="14"/>
      <c r="S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4"/>
      <c r="M46" s="11"/>
      <c r="N46" s="11"/>
      <c r="O46" s="9" t="str">
        <f aca="false">IF($A46="","",IF(Q46="","Cleared","Not cleared"))</f>
        <v/>
      </c>
      <c r="P46" s="9" t="str">
        <f aca="true">IF($A46="","",IF(NOT(ISNUMBER(L46)),"No review date",IF(L46&lt;TODAY(),"Overdue",IF(L46-TODAY()&lt;=30,"Due within 30 days","OK"))))</f>
        <v/>
      </c>
      <c r="Q46" s="9" t="str">
        <f aca="false">IF($A46="","",IF(OR(LEN(TRIM(B46))=0,B46="NEEDS OWNER INPUT"),"What it does; ","")&amp;IF(OR(LEN(TRIM(D46))=0,D46="NEEDS OWNER INPUT"),"Builder; ","")&amp;IF(OR(LEN(TRIM(G46))=0,G46="NEEDS OWNER INPUT"),"Data it uses; ","")&amp;IF(OR(LEN(TRIM(H46))=0,H46="NEEDS OWNER INPUT"),"Data it must never receive; ","")&amp;IF(OR(LEN(TRIM(I46))=0,I46="NEEDS OWNER INPUT"),"Checklist; ","")&amp;IF(OR(LEN(TRIM(J46))=0,J46="NEEDS OWNER INPUT"),"When it is wrong; ","")&amp;IF(AND(M46&lt;&gt;"Yes",OR(LEN(TRIM(E46))=0,E46="NEEDS OWNER INPUT")),"Sign-off owner; ","")&amp;IF(NOT(ISNUMBER(L46)),"Next review date; ",""))</f>
        <v/>
      </c>
      <c r="R46" s="14"/>
      <c r="S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4"/>
      <c r="M47" s="11"/>
      <c r="N47" s="11"/>
      <c r="O47" s="9" t="str">
        <f aca="false">IF($A47="","",IF(Q47="","Cleared","Not cleared"))</f>
        <v/>
      </c>
      <c r="P47" s="9" t="str">
        <f aca="true">IF($A47="","",IF(NOT(ISNUMBER(L47)),"No review date",IF(L47&lt;TODAY(),"Overdue",IF(L47-TODAY()&lt;=30,"Due within 30 days","OK"))))</f>
        <v/>
      </c>
      <c r="Q47" s="9" t="str">
        <f aca="false">IF($A47="","",IF(OR(LEN(TRIM(B47))=0,B47="NEEDS OWNER INPUT"),"What it does; ","")&amp;IF(OR(LEN(TRIM(D47))=0,D47="NEEDS OWNER INPUT"),"Builder; ","")&amp;IF(OR(LEN(TRIM(G47))=0,G47="NEEDS OWNER INPUT"),"Data it uses; ","")&amp;IF(OR(LEN(TRIM(H47))=0,H47="NEEDS OWNER INPUT"),"Data it must never receive; ","")&amp;IF(OR(LEN(TRIM(I47))=0,I47="NEEDS OWNER INPUT"),"Checklist; ","")&amp;IF(OR(LEN(TRIM(J47))=0,J47="NEEDS OWNER INPUT"),"When it is wrong; ","")&amp;IF(AND(M47&lt;&gt;"Yes",OR(LEN(TRIM(E47))=0,E47="NEEDS OWNER INPUT")),"Sign-off owner; ","")&amp;IF(NOT(ISNUMBER(L47)),"Next review date; ",""))</f>
        <v/>
      </c>
      <c r="R47" s="14"/>
      <c r="S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4"/>
      <c r="M48" s="11"/>
      <c r="N48" s="11"/>
      <c r="O48" s="9" t="str">
        <f aca="false">IF($A48="","",IF(Q48="","Cleared","Not cleared"))</f>
        <v/>
      </c>
      <c r="P48" s="9" t="str">
        <f aca="true">IF($A48="","",IF(NOT(ISNUMBER(L48)),"No review date",IF(L48&lt;TODAY(),"Overdue",IF(L48-TODAY()&lt;=30,"Due within 30 days","OK"))))</f>
        <v/>
      </c>
      <c r="Q48" s="9" t="str">
        <f aca="false">IF($A48="","",IF(OR(LEN(TRIM(B48))=0,B48="NEEDS OWNER INPUT"),"What it does; ","")&amp;IF(OR(LEN(TRIM(D48))=0,D48="NEEDS OWNER INPUT"),"Builder; ","")&amp;IF(OR(LEN(TRIM(G48))=0,G48="NEEDS OWNER INPUT"),"Data it uses; ","")&amp;IF(OR(LEN(TRIM(H48))=0,H48="NEEDS OWNER INPUT"),"Data it must never receive; ","")&amp;IF(OR(LEN(TRIM(I48))=0,I48="NEEDS OWNER INPUT"),"Checklist; ","")&amp;IF(OR(LEN(TRIM(J48))=0,J48="NEEDS OWNER INPUT"),"When it is wrong; ","")&amp;IF(AND(M48&lt;&gt;"Yes",OR(LEN(TRIM(E48))=0,E48="NEEDS OWNER INPUT")),"Sign-off owner; ","")&amp;IF(NOT(ISNUMBER(L48)),"Next review date; ",""))</f>
        <v/>
      </c>
      <c r="R48" s="14"/>
      <c r="S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4"/>
      <c r="M49" s="11"/>
      <c r="N49" s="11"/>
      <c r="O49" s="9" t="str">
        <f aca="false">IF($A49="","",IF(Q49="","Cleared","Not cleared"))</f>
        <v/>
      </c>
      <c r="P49" s="9" t="str">
        <f aca="true">IF($A49="","",IF(NOT(ISNUMBER(L49)),"No review date",IF(L49&lt;TODAY(),"Overdue",IF(L49-TODAY()&lt;=30,"Due within 30 days","OK"))))</f>
        <v/>
      </c>
      <c r="Q49" s="9" t="str">
        <f aca="false">IF($A49="","",IF(OR(LEN(TRIM(B49))=0,B49="NEEDS OWNER INPUT"),"What it does; ","")&amp;IF(OR(LEN(TRIM(D49))=0,D49="NEEDS OWNER INPUT"),"Builder; ","")&amp;IF(OR(LEN(TRIM(G49))=0,G49="NEEDS OWNER INPUT"),"Data it uses; ","")&amp;IF(OR(LEN(TRIM(H49))=0,H49="NEEDS OWNER INPUT"),"Data it must never receive; ","")&amp;IF(OR(LEN(TRIM(I49))=0,I49="NEEDS OWNER INPUT"),"Checklist; ","")&amp;IF(OR(LEN(TRIM(J49))=0,J49="NEEDS OWNER INPUT"),"When it is wrong; ","")&amp;IF(AND(M49&lt;&gt;"Yes",OR(LEN(TRIM(E49))=0,E49="NEEDS OWNER INPUT")),"Sign-off owner; ","")&amp;IF(NOT(ISNUMBER(L49)),"Next review date; ",""))</f>
        <v/>
      </c>
      <c r="R49" s="14"/>
      <c r="S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4"/>
      <c r="M50" s="11"/>
      <c r="N50" s="11"/>
      <c r="O50" s="9" t="str">
        <f aca="false">IF($A50="","",IF(Q50="","Cleared","Not cleared"))</f>
        <v/>
      </c>
      <c r="P50" s="9" t="str">
        <f aca="true">IF($A50="","",IF(NOT(ISNUMBER(L50)),"No review date",IF(L50&lt;TODAY(),"Overdue",IF(L50-TODAY()&lt;=30,"Due within 30 days","OK"))))</f>
        <v/>
      </c>
      <c r="Q50" s="9" t="str">
        <f aca="false">IF($A50="","",IF(OR(LEN(TRIM(B50))=0,B50="NEEDS OWNER INPUT"),"What it does; ","")&amp;IF(OR(LEN(TRIM(D50))=0,D50="NEEDS OWNER INPUT"),"Builder; ","")&amp;IF(OR(LEN(TRIM(G50))=0,G50="NEEDS OWNER INPUT"),"Data it uses; ","")&amp;IF(OR(LEN(TRIM(H50))=0,H50="NEEDS OWNER INPUT"),"Data it must never receive; ","")&amp;IF(OR(LEN(TRIM(I50))=0,I50="NEEDS OWNER INPUT"),"Checklist; ","")&amp;IF(OR(LEN(TRIM(J50))=0,J50="NEEDS OWNER INPUT"),"When it is wrong; ","")&amp;IF(AND(M50&lt;&gt;"Yes",OR(LEN(TRIM(E50))=0,E50="NEEDS OWNER INPUT")),"Sign-off owner; ","")&amp;IF(NOT(ISNUMBER(L50)),"Next review date; ",""))</f>
        <v/>
      </c>
      <c r="R50" s="14"/>
      <c r="S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4"/>
      <c r="M51" s="11"/>
      <c r="N51" s="11"/>
      <c r="O51" s="9" t="str">
        <f aca="false">IF($A51="","",IF(Q51="","Cleared","Not cleared"))</f>
        <v/>
      </c>
      <c r="P51" s="9" t="str">
        <f aca="true">IF($A51="","",IF(NOT(ISNUMBER(L51)),"No review date",IF(L51&lt;TODAY(),"Overdue",IF(L51-TODAY()&lt;=30,"Due within 30 days","OK"))))</f>
        <v/>
      </c>
      <c r="Q51" s="9" t="str">
        <f aca="false">IF($A51="","",IF(OR(LEN(TRIM(B51))=0,B51="NEEDS OWNER INPUT"),"What it does; ","")&amp;IF(OR(LEN(TRIM(D51))=0,D51="NEEDS OWNER INPUT"),"Builder; ","")&amp;IF(OR(LEN(TRIM(G51))=0,G51="NEEDS OWNER INPUT"),"Data it uses; ","")&amp;IF(OR(LEN(TRIM(H51))=0,H51="NEEDS OWNER INPUT"),"Data it must never receive; ","")&amp;IF(OR(LEN(TRIM(I51))=0,I51="NEEDS OWNER INPUT"),"Checklist; ","")&amp;IF(OR(LEN(TRIM(J51))=0,J51="NEEDS OWNER INPUT"),"When it is wrong; ","")&amp;IF(AND(M51&lt;&gt;"Yes",OR(LEN(TRIM(E51))=0,E51="NEEDS OWNER INPUT")),"Sign-off owner; ","")&amp;IF(NOT(ISNUMBER(L51)),"Next review date; ",""))</f>
        <v/>
      </c>
      <c r="R51" s="14"/>
      <c r="S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4"/>
      <c r="M52" s="11"/>
      <c r="N52" s="11"/>
      <c r="O52" s="9" t="str">
        <f aca="false">IF($A52="","",IF(Q52="","Cleared","Not cleared"))</f>
        <v/>
      </c>
      <c r="P52" s="9" t="str">
        <f aca="true">IF($A52="","",IF(NOT(ISNUMBER(L52)),"No review date",IF(L52&lt;TODAY(),"Overdue",IF(L52-TODAY()&lt;=30,"Due within 30 days","OK"))))</f>
        <v/>
      </c>
      <c r="Q52" s="9" t="str">
        <f aca="false">IF($A52="","",IF(OR(LEN(TRIM(B52))=0,B52="NEEDS OWNER INPUT"),"What it does; ","")&amp;IF(OR(LEN(TRIM(D52))=0,D52="NEEDS OWNER INPUT"),"Builder; ","")&amp;IF(OR(LEN(TRIM(G52))=0,G52="NEEDS OWNER INPUT"),"Data it uses; ","")&amp;IF(OR(LEN(TRIM(H52))=0,H52="NEEDS OWNER INPUT"),"Data it must never receive; ","")&amp;IF(OR(LEN(TRIM(I52))=0,I52="NEEDS OWNER INPUT"),"Checklist; ","")&amp;IF(OR(LEN(TRIM(J52))=0,J52="NEEDS OWNER INPUT"),"When it is wrong; ","")&amp;IF(AND(M52&lt;&gt;"Yes",OR(LEN(TRIM(E52))=0,E52="NEEDS OWNER INPUT")),"Sign-off owner; ","")&amp;IF(NOT(ISNUMBER(L52)),"Next review date; ",""))</f>
        <v/>
      </c>
      <c r="R52" s="14"/>
      <c r="S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4"/>
      <c r="M53" s="11"/>
      <c r="N53" s="11"/>
      <c r="O53" s="9" t="str">
        <f aca="false">IF($A53="","",IF(Q53="","Cleared","Not cleared"))</f>
        <v/>
      </c>
      <c r="P53" s="9" t="str">
        <f aca="true">IF($A53="","",IF(NOT(ISNUMBER(L53)),"No review date",IF(L53&lt;TODAY(),"Overdue",IF(L53-TODAY()&lt;=30,"Due within 30 days","OK"))))</f>
        <v/>
      </c>
      <c r="Q53" s="9" t="str">
        <f aca="false">IF($A53="","",IF(OR(LEN(TRIM(B53))=0,B53="NEEDS OWNER INPUT"),"What it does; ","")&amp;IF(OR(LEN(TRIM(D53))=0,D53="NEEDS OWNER INPUT"),"Builder; ","")&amp;IF(OR(LEN(TRIM(G53))=0,G53="NEEDS OWNER INPUT"),"Data it uses; ","")&amp;IF(OR(LEN(TRIM(H53))=0,H53="NEEDS OWNER INPUT"),"Data it must never receive; ","")&amp;IF(OR(LEN(TRIM(I53))=0,I53="NEEDS OWNER INPUT"),"Checklist; ","")&amp;IF(OR(LEN(TRIM(J53))=0,J53="NEEDS OWNER INPUT"),"When it is wrong; ","")&amp;IF(AND(M53&lt;&gt;"Yes",OR(LEN(TRIM(E53))=0,E53="NEEDS OWNER INPUT")),"Sign-off owner; ","")&amp;IF(NOT(ISNUMBER(L53)),"Next review date; ",""))</f>
        <v/>
      </c>
      <c r="R53" s="14"/>
      <c r="S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4"/>
      <c r="M54" s="11"/>
      <c r="N54" s="11"/>
      <c r="O54" s="9" t="str">
        <f aca="false">IF($A54="","",IF(Q54="","Cleared","Not cleared"))</f>
        <v/>
      </c>
      <c r="P54" s="9" t="str">
        <f aca="true">IF($A54="","",IF(NOT(ISNUMBER(L54)),"No review date",IF(L54&lt;TODAY(),"Overdue",IF(L54-TODAY()&lt;=30,"Due within 30 days","OK"))))</f>
        <v/>
      </c>
      <c r="Q54" s="9" t="str">
        <f aca="false">IF($A54="","",IF(OR(LEN(TRIM(B54))=0,B54="NEEDS OWNER INPUT"),"What it does; ","")&amp;IF(OR(LEN(TRIM(D54))=0,D54="NEEDS OWNER INPUT"),"Builder; ","")&amp;IF(OR(LEN(TRIM(G54))=0,G54="NEEDS OWNER INPUT"),"Data it uses; ","")&amp;IF(OR(LEN(TRIM(H54))=0,H54="NEEDS OWNER INPUT"),"Data it must never receive; ","")&amp;IF(OR(LEN(TRIM(I54))=0,I54="NEEDS OWNER INPUT"),"Checklist; ","")&amp;IF(OR(LEN(TRIM(J54))=0,J54="NEEDS OWNER INPUT"),"When it is wrong; ","")&amp;IF(AND(M54&lt;&gt;"Yes",OR(LEN(TRIM(E54))=0,E54="NEEDS OWNER INPUT")),"Sign-off owner; ","")&amp;IF(NOT(ISNUMBER(L54)),"Next review date; ",""))</f>
        <v/>
      </c>
      <c r="R54" s="14"/>
      <c r="S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4"/>
      <c r="M55" s="11"/>
      <c r="N55" s="11"/>
      <c r="O55" s="9" t="str">
        <f aca="false">IF($A55="","",IF(Q55="","Cleared","Not cleared"))</f>
        <v/>
      </c>
      <c r="P55" s="9" t="str">
        <f aca="true">IF($A55="","",IF(NOT(ISNUMBER(L55)),"No review date",IF(L55&lt;TODAY(),"Overdue",IF(L55-TODAY()&lt;=30,"Due within 30 days","OK"))))</f>
        <v/>
      </c>
      <c r="Q55" s="9" t="str">
        <f aca="false">IF($A55="","",IF(OR(LEN(TRIM(B55))=0,B55="NEEDS OWNER INPUT"),"What it does; ","")&amp;IF(OR(LEN(TRIM(D55))=0,D55="NEEDS OWNER INPUT"),"Builder; ","")&amp;IF(OR(LEN(TRIM(G55))=0,G55="NEEDS OWNER INPUT"),"Data it uses; ","")&amp;IF(OR(LEN(TRIM(H55))=0,H55="NEEDS OWNER INPUT"),"Data it must never receive; ","")&amp;IF(OR(LEN(TRIM(I55))=0,I55="NEEDS OWNER INPUT"),"Checklist; ","")&amp;IF(OR(LEN(TRIM(J55))=0,J55="NEEDS OWNER INPUT"),"When it is wrong; ","")&amp;IF(AND(M55&lt;&gt;"Yes",OR(LEN(TRIM(E55))=0,E55="NEEDS OWNER INPUT")),"Sign-off owner; ","")&amp;IF(NOT(ISNUMBER(L55)),"Next review date; ",""))</f>
        <v/>
      </c>
      <c r="R55" s="14"/>
      <c r="S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4"/>
      <c r="M56" s="11"/>
      <c r="N56" s="11"/>
      <c r="O56" s="9" t="str">
        <f aca="false">IF($A56="","",IF(Q56="","Cleared","Not cleared"))</f>
        <v/>
      </c>
      <c r="P56" s="9" t="str">
        <f aca="true">IF($A56="","",IF(NOT(ISNUMBER(L56)),"No review date",IF(L56&lt;TODAY(),"Overdue",IF(L56-TODAY()&lt;=30,"Due within 30 days","OK"))))</f>
        <v/>
      </c>
      <c r="Q56" s="9" t="str">
        <f aca="false">IF($A56="","",IF(OR(LEN(TRIM(B56))=0,B56="NEEDS OWNER INPUT"),"What it does; ","")&amp;IF(OR(LEN(TRIM(D56))=0,D56="NEEDS OWNER INPUT"),"Builder; ","")&amp;IF(OR(LEN(TRIM(G56))=0,G56="NEEDS OWNER INPUT"),"Data it uses; ","")&amp;IF(OR(LEN(TRIM(H56))=0,H56="NEEDS OWNER INPUT"),"Data it must never receive; ","")&amp;IF(OR(LEN(TRIM(I56))=0,I56="NEEDS OWNER INPUT"),"Checklist; ","")&amp;IF(OR(LEN(TRIM(J56))=0,J56="NEEDS OWNER INPUT"),"When it is wrong; ","")&amp;IF(AND(M56&lt;&gt;"Yes",OR(LEN(TRIM(E56))=0,E56="NEEDS OWNER INPUT")),"Sign-off owner; ","")&amp;IF(NOT(ISNUMBER(L56)),"Next review date; ",""))</f>
        <v/>
      </c>
      <c r="R56" s="14"/>
      <c r="S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4"/>
      <c r="M57" s="11"/>
      <c r="N57" s="11"/>
      <c r="O57" s="9" t="str">
        <f aca="false">IF($A57="","",IF(Q57="","Cleared","Not cleared"))</f>
        <v/>
      </c>
      <c r="P57" s="9" t="str">
        <f aca="true">IF($A57="","",IF(NOT(ISNUMBER(L57)),"No review date",IF(L57&lt;TODAY(),"Overdue",IF(L57-TODAY()&lt;=30,"Due within 30 days","OK"))))</f>
        <v/>
      </c>
      <c r="Q57" s="9" t="str">
        <f aca="false">IF($A57="","",IF(OR(LEN(TRIM(B57))=0,B57="NEEDS OWNER INPUT"),"What it does; ","")&amp;IF(OR(LEN(TRIM(D57))=0,D57="NEEDS OWNER INPUT"),"Builder; ","")&amp;IF(OR(LEN(TRIM(G57))=0,G57="NEEDS OWNER INPUT"),"Data it uses; ","")&amp;IF(OR(LEN(TRIM(H57))=0,H57="NEEDS OWNER INPUT"),"Data it must never receive; ","")&amp;IF(OR(LEN(TRIM(I57))=0,I57="NEEDS OWNER INPUT"),"Checklist; ","")&amp;IF(OR(LEN(TRIM(J57))=0,J57="NEEDS OWNER INPUT"),"When it is wrong; ","")&amp;IF(AND(M57&lt;&gt;"Yes",OR(LEN(TRIM(E57))=0,E57="NEEDS OWNER INPUT")),"Sign-off owner; ","")&amp;IF(NOT(ISNUMBER(L57)),"Next review date; ",""))</f>
        <v/>
      </c>
      <c r="R57" s="14"/>
      <c r="S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4"/>
      <c r="M58" s="11"/>
      <c r="N58" s="11"/>
      <c r="O58" s="9" t="str">
        <f aca="false">IF($A58="","",IF(Q58="","Cleared","Not cleared"))</f>
        <v/>
      </c>
      <c r="P58" s="9" t="str">
        <f aca="true">IF($A58="","",IF(NOT(ISNUMBER(L58)),"No review date",IF(L58&lt;TODAY(),"Overdue",IF(L58-TODAY()&lt;=30,"Due within 30 days","OK"))))</f>
        <v/>
      </c>
      <c r="Q58" s="9" t="str">
        <f aca="false">IF($A58="","",IF(OR(LEN(TRIM(B58))=0,B58="NEEDS OWNER INPUT"),"What it does; ","")&amp;IF(OR(LEN(TRIM(D58))=0,D58="NEEDS OWNER INPUT"),"Builder; ","")&amp;IF(OR(LEN(TRIM(G58))=0,G58="NEEDS OWNER INPUT"),"Data it uses; ","")&amp;IF(OR(LEN(TRIM(H58))=0,H58="NEEDS OWNER INPUT"),"Data it must never receive; ","")&amp;IF(OR(LEN(TRIM(I58))=0,I58="NEEDS OWNER INPUT"),"Checklist; ","")&amp;IF(OR(LEN(TRIM(J58))=0,J58="NEEDS OWNER INPUT"),"When it is wrong; ","")&amp;IF(AND(M58&lt;&gt;"Yes",OR(LEN(TRIM(E58))=0,E58="NEEDS OWNER INPUT")),"Sign-off owner; ","")&amp;IF(NOT(ISNUMBER(L58)),"Next review date; ",""))</f>
        <v/>
      </c>
      <c r="R58" s="14"/>
      <c r="S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4"/>
      <c r="M59" s="11"/>
      <c r="N59" s="11"/>
      <c r="O59" s="9" t="str">
        <f aca="false">IF($A59="","",IF(Q59="","Cleared","Not cleared"))</f>
        <v/>
      </c>
      <c r="P59" s="9" t="str">
        <f aca="true">IF($A59="","",IF(NOT(ISNUMBER(L59)),"No review date",IF(L59&lt;TODAY(),"Overdue",IF(L59-TODAY()&lt;=30,"Due within 30 days","OK"))))</f>
        <v/>
      </c>
      <c r="Q59" s="9" t="str">
        <f aca="false">IF($A59="","",IF(OR(LEN(TRIM(B59))=0,B59="NEEDS OWNER INPUT"),"What it does; ","")&amp;IF(OR(LEN(TRIM(D59))=0,D59="NEEDS OWNER INPUT"),"Builder; ","")&amp;IF(OR(LEN(TRIM(G59))=0,G59="NEEDS OWNER INPUT"),"Data it uses; ","")&amp;IF(OR(LEN(TRIM(H59))=0,H59="NEEDS OWNER INPUT"),"Data it must never receive; ","")&amp;IF(OR(LEN(TRIM(I59))=0,I59="NEEDS OWNER INPUT"),"Checklist; ","")&amp;IF(OR(LEN(TRIM(J59))=0,J59="NEEDS OWNER INPUT"),"When it is wrong; ","")&amp;IF(AND(M59&lt;&gt;"Yes",OR(LEN(TRIM(E59))=0,E59="NEEDS OWNER INPUT")),"Sign-off owner; ","")&amp;IF(NOT(ISNUMBER(L59)),"Next review date; ",""))</f>
        <v/>
      </c>
      <c r="R59" s="14"/>
      <c r="S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4"/>
      <c r="M60" s="11"/>
      <c r="N60" s="11"/>
      <c r="O60" s="9" t="str">
        <f aca="false">IF($A60="","",IF(Q60="","Cleared","Not cleared"))</f>
        <v/>
      </c>
      <c r="P60" s="9" t="str">
        <f aca="true">IF($A60="","",IF(NOT(ISNUMBER(L60)),"No review date",IF(L60&lt;TODAY(),"Overdue",IF(L60-TODAY()&lt;=30,"Due within 30 days","OK"))))</f>
        <v/>
      </c>
      <c r="Q60" s="9" t="str">
        <f aca="false">IF($A60="","",IF(OR(LEN(TRIM(B60))=0,B60="NEEDS OWNER INPUT"),"What it does; ","")&amp;IF(OR(LEN(TRIM(D60))=0,D60="NEEDS OWNER INPUT"),"Builder; ","")&amp;IF(OR(LEN(TRIM(G60))=0,G60="NEEDS OWNER INPUT"),"Data it uses; ","")&amp;IF(OR(LEN(TRIM(H60))=0,H60="NEEDS OWNER INPUT"),"Data it must never receive; ","")&amp;IF(OR(LEN(TRIM(I60))=0,I60="NEEDS OWNER INPUT"),"Checklist; ","")&amp;IF(OR(LEN(TRIM(J60))=0,J60="NEEDS OWNER INPUT"),"When it is wrong; ","")&amp;IF(AND(M60&lt;&gt;"Yes",OR(LEN(TRIM(E60))=0,E60="NEEDS OWNER INPUT")),"Sign-off owner; ","")&amp;IF(NOT(ISNUMBER(L60)),"Next review date; ",""))</f>
        <v/>
      </c>
      <c r="R60" s="14"/>
      <c r="S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4"/>
      <c r="M61" s="11"/>
      <c r="N61" s="11"/>
      <c r="O61" s="9" t="str">
        <f aca="false">IF($A61="","",IF(Q61="","Cleared","Not cleared"))</f>
        <v/>
      </c>
      <c r="P61" s="9" t="str">
        <f aca="true">IF($A61="","",IF(NOT(ISNUMBER(L61)),"No review date",IF(L61&lt;TODAY(),"Overdue",IF(L61-TODAY()&lt;=30,"Due within 30 days","OK"))))</f>
        <v/>
      </c>
      <c r="Q61" s="9" t="str">
        <f aca="false">IF($A61="","",IF(OR(LEN(TRIM(B61))=0,B61="NEEDS OWNER INPUT"),"What it does; ","")&amp;IF(OR(LEN(TRIM(D61))=0,D61="NEEDS OWNER INPUT"),"Builder; ","")&amp;IF(OR(LEN(TRIM(G61))=0,G61="NEEDS OWNER INPUT"),"Data it uses; ","")&amp;IF(OR(LEN(TRIM(H61))=0,H61="NEEDS OWNER INPUT"),"Data it must never receive; ","")&amp;IF(OR(LEN(TRIM(I61))=0,I61="NEEDS OWNER INPUT"),"Checklist; ","")&amp;IF(OR(LEN(TRIM(J61))=0,J61="NEEDS OWNER INPUT"),"When it is wrong; ","")&amp;IF(AND(M61&lt;&gt;"Yes",OR(LEN(TRIM(E61))=0,E61="NEEDS OWNER INPUT")),"Sign-off owner; ","")&amp;IF(NOT(ISNUMBER(L61)),"Next review date; ",""))</f>
        <v/>
      </c>
      <c r="R61" s="14"/>
      <c r="S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4"/>
      <c r="M62" s="11"/>
      <c r="N62" s="11"/>
      <c r="O62" s="9" t="str">
        <f aca="false">IF($A62="","",IF(Q62="","Cleared","Not cleared"))</f>
        <v/>
      </c>
      <c r="P62" s="9" t="str">
        <f aca="true">IF($A62="","",IF(NOT(ISNUMBER(L62)),"No review date",IF(L62&lt;TODAY(),"Overdue",IF(L62-TODAY()&lt;=30,"Due within 30 days","OK"))))</f>
        <v/>
      </c>
      <c r="Q62" s="9" t="str">
        <f aca="false">IF($A62="","",IF(OR(LEN(TRIM(B62))=0,B62="NEEDS OWNER INPUT"),"What it does; ","")&amp;IF(OR(LEN(TRIM(D62))=0,D62="NEEDS OWNER INPUT"),"Builder; ","")&amp;IF(OR(LEN(TRIM(G62))=0,G62="NEEDS OWNER INPUT"),"Data it uses; ","")&amp;IF(OR(LEN(TRIM(H62))=0,H62="NEEDS OWNER INPUT"),"Data it must never receive; ","")&amp;IF(OR(LEN(TRIM(I62))=0,I62="NEEDS OWNER INPUT"),"Checklist; ","")&amp;IF(OR(LEN(TRIM(J62))=0,J62="NEEDS OWNER INPUT"),"When it is wrong; ","")&amp;IF(AND(M62&lt;&gt;"Yes",OR(LEN(TRIM(E62))=0,E62="NEEDS OWNER INPUT")),"Sign-off owner; ","")&amp;IF(NOT(ISNUMBER(L62)),"Next review date; ",""))</f>
        <v/>
      </c>
      <c r="R62" s="14"/>
      <c r="S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4"/>
      <c r="M63" s="11"/>
      <c r="N63" s="11"/>
      <c r="O63" s="9" t="str">
        <f aca="false">IF($A63="","",IF(Q63="","Cleared","Not cleared"))</f>
        <v/>
      </c>
      <c r="P63" s="9" t="str">
        <f aca="true">IF($A63="","",IF(NOT(ISNUMBER(L63)),"No review date",IF(L63&lt;TODAY(),"Overdue",IF(L63-TODAY()&lt;=30,"Due within 30 days","OK"))))</f>
        <v/>
      </c>
      <c r="Q63" s="9" t="str">
        <f aca="false">IF($A63="","",IF(OR(LEN(TRIM(B63))=0,B63="NEEDS OWNER INPUT"),"What it does; ","")&amp;IF(OR(LEN(TRIM(D63))=0,D63="NEEDS OWNER INPUT"),"Builder; ","")&amp;IF(OR(LEN(TRIM(G63))=0,G63="NEEDS OWNER INPUT"),"Data it uses; ","")&amp;IF(OR(LEN(TRIM(H63))=0,H63="NEEDS OWNER INPUT"),"Data it must never receive; ","")&amp;IF(OR(LEN(TRIM(I63))=0,I63="NEEDS OWNER INPUT"),"Checklist; ","")&amp;IF(OR(LEN(TRIM(J63))=0,J63="NEEDS OWNER INPUT"),"When it is wrong; ","")&amp;IF(AND(M63&lt;&gt;"Yes",OR(LEN(TRIM(E63))=0,E63="NEEDS OWNER INPUT")),"Sign-off owner; ","")&amp;IF(NOT(ISNUMBER(L63)),"Next review date; ",""))</f>
        <v/>
      </c>
      <c r="R63" s="14"/>
      <c r="S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4"/>
      <c r="M64" s="11"/>
      <c r="N64" s="11"/>
      <c r="O64" s="9" t="str">
        <f aca="false">IF($A64="","",IF(Q64="","Cleared","Not cleared"))</f>
        <v/>
      </c>
      <c r="P64" s="9" t="str">
        <f aca="true">IF($A64="","",IF(NOT(ISNUMBER(L64)),"No review date",IF(L64&lt;TODAY(),"Overdue",IF(L64-TODAY()&lt;=30,"Due within 30 days","OK"))))</f>
        <v/>
      </c>
      <c r="Q64" s="9" t="str">
        <f aca="false">IF($A64="","",IF(OR(LEN(TRIM(B64))=0,B64="NEEDS OWNER INPUT"),"What it does; ","")&amp;IF(OR(LEN(TRIM(D64))=0,D64="NEEDS OWNER INPUT"),"Builder; ","")&amp;IF(OR(LEN(TRIM(G64))=0,G64="NEEDS OWNER INPUT"),"Data it uses; ","")&amp;IF(OR(LEN(TRIM(H64))=0,H64="NEEDS OWNER INPUT"),"Data it must never receive; ","")&amp;IF(OR(LEN(TRIM(I64))=0,I64="NEEDS OWNER INPUT"),"Checklist; ","")&amp;IF(OR(LEN(TRIM(J64))=0,J64="NEEDS OWNER INPUT"),"When it is wrong; ","")&amp;IF(AND(M64&lt;&gt;"Yes",OR(LEN(TRIM(E64))=0,E64="NEEDS OWNER INPUT")),"Sign-off owner; ","")&amp;IF(NOT(ISNUMBER(L64)),"Next review date; ",""))</f>
        <v/>
      </c>
      <c r="R64" s="14"/>
      <c r="S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4"/>
      <c r="M65" s="11"/>
      <c r="N65" s="11"/>
      <c r="O65" s="9" t="str">
        <f aca="false">IF($A65="","",IF(Q65="","Cleared","Not cleared"))</f>
        <v/>
      </c>
      <c r="P65" s="9" t="str">
        <f aca="true">IF($A65="","",IF(NOT(ISNUMBER(L65)),"No review date",IF(L65&lt;TODAY(),"Overdue",IF(L65-TODAY()&lt;=30,"Due within 30 days","OK"))))</f>
        <v/>
      </c>
      <c r="Q65" s="9" t="str">
        <f aca="false">IF($A65="","",IF(OR(LEN(TRIM(B65))=0,B65="NEEDS OWNER INPUT"),"What it does; ","")&amp;IF(OR(LEN(TRIM(D65))=0,D65="NEEDS OWNER INPUT"),"Builder; ","")&amp;IF(OR(LEN(TRIM(G65))=0,G65="NEEDS OWNER INPUT"),"Data it uses; ","")&amp;IF(OR(LEN(TRIM(H65))=0,H65="NEEDS OWNER INPUT"),"Data it must never receive; ","")&amp;IF(OR(LEN(TRIM(I65))=0,I65="NEEDS OWNER INPUT"),"Checklist; ","")&amp;IF(OR(LEN(TRIM(J65))=0,J65="NEEDS OWNER INPUT"),"When it is wrong; ","")&amp;IF(AND(M65&lt;&gt;"Yes",OR(LEN(TRIM(E65))=0,E65="NEEDS OWNER INPUT")),"Sign-off owner; ","")&amp;IF(NOT(ISNUMBER(L65)),"Next review date; ",""))</f>
        <v/>
      </c>
      <c r="R65" s="14"/>
      <c r="S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4"/>
      <c r="M66" s="11"/>
      <c r="N66" s="11"/>
      <c r="O66" s="9" t="str">
        <f aca="false">IF($A66="","",IF(Q66="","Cleared","Not cleared"))</f>
        <v/>
      </c>
      <c r="P66" s="9" t="str">
        <f aca="true">IF($A66="","",IF(NOT(ISNUMBER(L66)),"No review date",IF(L66&lt;TODAY(),"Overdue",IF(L66-TODAY()&lt;=30,"Due within 30 days","OK"))))</f>
        <v/>
      </c>
      <c r="Q66" s="9" t="str">
        <f aca="false">IF($A66="","",IF(OR(LEN(TRIM(B66))=0,B66="NEEDS OWNER INPUT"),"What it does; ","")&amp;IF(OR(LEN(TRIM(D66))=0,D66="NEEDS OWNER INPUT"),"Builder; ","")&amp;IF(OR(LEN(TRIM(G66))=0,G66="NEEDS OWNER INPUT"),"Data it uses; ","")&amp;IF(OR(LEN(TRIM(H66))=0,H66="NEEDS OWNER INPUT"),"Data it must never receive; ","")&amp;IF(OR(LEN(TRIM(I66))=0,I66="NEEDS OWNER INPUT"),"Checklist; ","")&amp;IF(OR(LEN(TRIM(J66))=0,J66="NEEDS OWNER INPUT"),"When it is wrong; ","")&amp;IF(AND(M66&lt;&gt;"Yes",OR(LEN(TRIM(E66))=0,E66="NEEDS OWNER INPUT")),"Sign-off owner; ","")&amp;IF(NOT(ISNUMBER(L66)),"Next review date; ",""))</f>
        <v/>
      </c>
      <c r="R66" s="14"/>
      <c r="S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4"/>
      <c r="M67" s="11"/>
      <c r="N67" s="11"/>
      <c r="O67" s="9" t="str">
        <f aca="false">IF($A67="","",IF(Q67="","Cleared","Not cleared"))</f>
        <v/>
      </c>
      <c r="P67" s="9" t="str">
        <f aca="true">IF($A67="","",IF(NOT(ISNUMBER(L67)),"No review date",IF(L67&lt;TODAY(),"Overdue",IF(L67-TODAY()&lt;=30,"Due within 30 days","OK"))))</f>
        <v/>
      </c>
      <c r="Q67" s="9" t="str">
        <f aca="false">IF($A67="","",IF(OR(LEN(TRIM(B67))=0,B67="NEEDS OWNER INPUT"),"What it does; ","")&amp;IF(OR(LEN(TRIM(D67))=0,D67="NEEDS OWNER INPUT"),"Builder; ","")&amp;IF(OR(LEN(TRIM(G67))=0,G67="NEEDS OWNER INPUT"),"Data it uses; ","")&amp;IF(OR(LEN(TRIM(H67))=0,H67="NEEDS OWNER INPUT"),"Data it must never receive; ","")&amp;IF(OR(LEN(TRIM(I67))=0,I67="NEEDS OWNER INPUT"),"Checklist; ","")&amp;IF(OR(LEN(TRIM(J67))=0,J67="NEEDS OWNER INPUT"),"When it is wrong; ","")&amp;IF(AND(M67&lt;&gt;"Yes",OR(LEN(TRIM(E67))=0,E67="NEEDS OWNER INPUT")),"Sign-off owner; ","")&amp;IF(NOT(ISNUMBER(L67)),"Next review date; ",""))</f>
        <v/>
      </c>
      <c r="R67" s="14"/>
      <c r="S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4"/>
      <c r="M68" s="11"/>
      <c r="N68" s="11"/>
      <c r="O68" s="9" t="str">
        <f aca="false">IF($A68="","",IF(Q68="","Cleared","Not cleared"))</f>
        <v/>
      </c>
      <c r="P68" s="9" t="str">
        <f aca="true">IF($A68="","",IF(NOT(ISNUMBER(L68)),"No review date",IF(L68&lt;TODAY(),"Overdue",IF(L68-TODAY()&lt;=30,"Due within 30 days","OK"))))</f>
        <v/>
      </c>
      <c r="Q68" s="9" t="str">
        <f aca="false">IF($A68="","",IF(OR(LEN(TRIM(B68))=0,B68="NEEDS OWNER INPUT"),"What it does; ","")&amp;IF(OR(LEN(TRIM(D68))=0,D68="NEEDS OWNER INPUT"),"Builder; ","")&amp;IF(OR(LEN(TRIM(G68))=0,G68="NEEDS OWNER INPUT"),"Data it uses; ","")&amp;IF(OR(LEN(TRIM(H68))=0,H68="NEEDS OWNER INPUT"),"Data it must never receive; ","")&amp;IF(OR(LEN(TRIM(I68))=0,I68="NEEDS OWNER INPUT"),"Checklist; ","")&amp;IF(OR(LEN(TRIM(J68))=0,J68="NEEDS OWNER INPUT"),"When it is wrong; ","")&amp;IF(AND(M68&lt;&gt;"Yes",OR(LEN(TRIM(E68))=0,E68="NEEDS OWNER INPUT")),"Sign-off owner; ","")&amp;IF(NOT(ISNUMBER(L68)),"Next review date; ",""))</f>
        <v/>
      </c>
      <c r="R68" s="14"/>
      <c r="S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4"/>
      <c r="M69" s="11"/>
      <c r="N69" s="11"/>
      <c r="O69" s="9" t="str">
        <f aca="false">IF($A69="","",IF(Q69="","Cleared","Not cleared"))</f>
        <v/>
      </c>
      <c r="P69" s="9" t="str">
        <f aca="true">IF($A69="","",IF(NOT(ISNUMBER(L69)),"No review date",IF(L69&lt;TODAY(),"Overdue",IF(L69-TODAY()&lt;=30,"Due within 30 days","OK"))))</f>
        <v/>
      </c>
      <c r="Q69" s="9" t="str">
        <f aca="false">IF($A69="","",IF(OR(LEN(TRIM(B69))=0,B69="NEEDS OWNER INPUT"),"What it does; ","")&amp;IF(OR(LEN(TRIM(D69))=0,D69="NEEDS OWNER INPUT"),"Builder; ","")&amp;IF(OR(LEN(TRIM(G69))=0,G69="NEEDS OWNER INPUT"),"Data it uses; ","")&amp;IF(OR(LEN(TRIM(H69))=0,H69="NEEDS OWNER INPUT"),"Data it must never receive; ","")&amp;IF(OR(LEN(TRIM(I69))=0,I69="NEEDS OWNER INPUT"),"Checklist; ","")&amp;IF(OR(LEN(TRIM(J69))=0,J69="NEEDS OWNER INPUT"),"When it is wrong; ","")&amp;IF(AND(M69&lt;&gt;"Yes",OR(LEN(TRIM(E69))=0,E69="NEEDS OWNER INPUT")),"Sign-off owner; ","")&amp;IF(NOT(ISNUMBER(L69)),"Next review date; ",""))</f>
        <v/>
      </c>
      <c r="R69" s="14"/>
      <c r="S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4"/>
      <c r="M70" s="11"/>
      <c r="N70" s="11"/>
      <c r="O70" s="9" t="str">
        <f aca="false">IF($A70="","",IF(Q70="","Cleared","Not cleared"))</f>
        <v/>
      </c>
      <c r="P70" s="9" t="str">
        <f aca="true">IF($A70="","",IF(NOT(ISNUMBER(L70)),"No review date",IF(L70&lt;TODAY(),"Overdue",IF(L70-TODAY()&lt;=30,"Due within 30 days","OK"))))</f>
        <v/>
      </c>
      <c r="Q70" s="9" t="str">
        <f aca="false">IF($A70="","",IF(OR(LEN(TRIM(B70))=0,B70="NEEDS OWNER INPUT"),"What it does; ","")&amp;IF(OR(LEN(TRIM(D70))=0,D70="NEEDS OWNER INPUT"),"Builder; ","")&amp;IF(OR(LEN(TRIM(G70))=0,G70="NEEDS OWNER INPUT"),"Data it uses; ","")&amp;IF(OR(LEN(TRIM(H70))=0,H70="NEEDS OWNER INPUT"),"Data it must never receive; ","")&amp;IF(OR(LEN(TRIM(I70))=0,I70="NEEDS OWNER INPUT"),"Checklist; ","")&amp;IF(OR(LEN(TRIM(J70))=0,J70="NEEDS OWNER INPUT"),"When it is wrong; ","")&amp;IF(AND(M70&lt;&gt;"Yes",OR(LEN(TRIM(E70))=0,E70="NEEDS OWNER INPUT")),"Sign-off owner; ","")&amp;IF(NOT(ISNUMBER(L70)),"Next review date; ",""))</f>
        <v/>
      </c>
      <c r="R70" s="14"/>
      <c r="S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4"/>
      <c r="M71" s="11"/>
      <c r="N71" s="11"/>
      <c r="O71" s="9" t="str">
        <f aca="false">IF($A71="","",IF(Q71="","Cleared","Not cleared"))</f>
        <v/>
      </c>
      <c r="P71" s="9" t="str">
        <f aca="true">IF($A71="","",IF(NOT(ISNUMBER(L71)),"No review date",IF(L71&lt;TODAY(),"Overdue",IF(L71-TODAY()&lt;=30,"Due within 30 days","OK"))))</f>
        <v/>
      </c>
      <c r="Q71" s="9" t="str">
        <f aca="false">IF($A71="","",IF(OR(LEN(TRIM(B71))=0,B71="NEEDS OWNER INPUT"),"What it does; ","")&amp;IF(OR(LEN(TRIM(D71))=0,D71="NEEDS OWNER INPUT"),"Builder; ","")&amp;IF(OR(LEN(TRIM(G71))=0,G71="NEEDS OWNER INPUT"),"Data it uses; ","")&amp;IF(OR(LEN(TRIM(H71))=0,H71="NEEDS OWNER INPUT"),"Data it must never receive; ","")&amp;IF(OR(LEN(TRIM(I71))=0,I71="NEEDS OWNER INPUT"),"Checklist; ","")&amp;IF(OR(LEN(TRIM(J71))=0,J71="NEEDS OWNER INPUT"),"When it is wrong; ","")&amp;IF(AND(M71&lt;&gt;"Yes",OR(LEN(TRIM(E71))=0,E71="NEEDS OWNER INPUT")),"Sign-off owner; ","")&amp;IF(NOT(ISNUMBER(L71)),"Next review date; ",""))</f>
        <v/>
      </c>
      <c r="R71" s="14"/>
      <c r="S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4"/>
      <c r="M72" s="11"/>
      <c r="N72" s="11"/>
      <c r="O72" s="9" t="str">
        <f aca="false">IF($A72="","",IF(Q72="","Cleared","Not cleared"))</f>
        <v/>
      </c>
      <c r="P72" s="9" t="str">
        <f aca="true">IF($A72="","",IF(NOT(ISNUMBER(L72)),"No review date",IF(L72&lt;TODAY(),"Overdue",IF(L72-TODAY()&lt;=30,"Due within 30 days","OK"))))</f>
        <v/>
      </c>
      <c r="Q72" s="9" t="str">
        <f aca="false">IF($A72="","",IF(OR(LEN(TRIM(B72))=0,B72="NEEDS OWNER INPUT"),"What it does; ","")&amp;IF(OR(LEN(TRIM(D72))=0,D72="NEEDS OWNER INPUT"),"Builder; ","")&amp;IF(OR(LEN(TRIM(G72))=0,G72="NEEDS OWNER INPUT"),"Data it uses; ","")&amp;IF(OR(LEN(TRIM(H72))=0,H72="NEEDS OWNER INPUT"),"Data it must never receive; ","")&amp;IF(OR(LEN(TRIM(I72))=0,I72="NEEDS OWNER INPUT"),"Checklist; ","")&amp;IF(OR(LEN(TRIM(J72))=0,J72="NEEDS OWNER INPUT"),"When it is wrong; ","")&amp;IF(AND(M72&lt;&gt;"Yes",OR(LEN(TRIM(E72))=0,E72="NEEDS OWNER INPUT")),"Sign-off owner; ","")&amp;IF(NOT(ISNUMBER(L72)),"Next review date; ",""))</f>
        <v/>
      </c>
      <c r="R72" s="14"/>
      <c r="S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4"/>
      <c r="M73" s="11"/>
      <c r="N73" s="11"/>
      <c r="O73" s="9" t="str">
        <f aca="false">IF($A73="","",IF(Q73="","Cleared","Not cleared"))</f>
        <v/>
      </c>
      <c r="P73" s="9" t="str">
        <f aca="true">IF($A73="","",IF(NOT(ISNUMBER(L73)),"No review date",IF(L73&lt;TODAY(),"Overdue",IF(L73-TODAY()&lt;=30,"Due within 30 days","OK"))))</f>
        <v/>
      </c>
      <c r="Q73" s="9" t="str">
        <f aca="false">IF($A73="","",IF(OR(LEN(TRIM(B73))=0,B73="NEEDS OWNER INPUT"),"What it does; ","")&amp;IF(OR(LEN(TRIM(D73))=0,D73="NEEDS OWNER INPUT"),"Builder; ","")&amp;IF(OR(LEN(TRIM(G73))=0,G73="NEEDS OWNER INPUT"),"Data it uses; ","")&amp;IF(OR(LEN(TRIM(H73))=0,H73="NEEDS OWNER INPUT"),"Data it must never receive; ","")&amp;IF(OR(LEN(TRIM(I73))=0,I73="NEEDS OWNER INPUT"),"Checklist; ","")&amp;IF(OR(LEN(TRIM(J73))=0,J73="NEEDS OWNER INPUT"),"When it is wrong; ","")&amp;IF(AND(M73&lt;&gt;"Yes",OR(LEN(TRIM(E73))=0,E73="NEEDS OWNER INPUT")),"Sign-off owner; ","")&amp;IF(NOT(ISNUMBER(L73)),"Next review date; ",""))</f>
        <v/>
      </c>
      <c r="R73" s="14"/>
      <c r="S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4"/>
      <c r="M74" s="11"/>
      <c r="N74" s="11"/>
      <c r="O74" s="9" t="str">
        <f aca="false">IF($A74="","",IF(Q74="","Cleared","Not cleared"))</f>
        <v/>
      </c>
      <c r="P74" s="9" t="str">
        <f aca="true">IF($A74="","",IF(NOT(ISNUMBER(L74)),"No review date",IF(L74&lt;TODAY(),"Overdue",IF(L74-TODAY()&lt;=30,"Due within 30 days","OK"))))</f>
        <v/>
      </c>
      <c r="Q74" s="9" t="str">
        <f aca="false">IF($A74="","",IF(OR(LEN(TRIM(B74))=0,B74="NEEDS OWNER INPUT"),"What it does; ","")&amp;IF(OR(LEN(TRIM(D74))=0,D74="NEEDS OWNER INPUT"),"Builder; ","")&amp;IF(OR(LEN(TRIM(G74))=0,G74="NEEDS OWNER INPUT"),"Data it uses; ","")&amp;IF(OR(LEN(TRIM(H74))=0,H74="NEEDS OWNER INPUT"),"Data it must never receive; ","")&amp;IF(OR(LEN(TRIM(I74))=0,I74="NEEDS OWNER INPUT"),"Checklist; ","")&amp;IF(OR(LEN(TRIM(J74))=0,J74="NEEDS OWNER INPUT"),"When it is wrong; ","")&amp;IF(AND(M74&lt;&gt;"Yes",OR(LEN(TRIM(E74))=0,E74="NEEDS OWNER INPUT")),"Sign-off owner; ","")&amp;IF(NOT(ISNUMBER(L74)),"Next review date; ",""))</f>
        <v/>
      </c>
      <c r="R74" s="14"/>
      <c r="S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4"/>
      <c r="M75" s="11"/>
      <c r="N75" s="11"/>
      <c r="O75" s="9" t="str">
        <f aca="false">IF($A75="","",IF(Q75="","Cleared","Not cleared"))</f>
        <v/>
      </c>
      <c r="P75" s="9" t="str">
        <f aca="true">IF($A75="","",IF(NOT(ISNUMBER(L75)),"No review date",IF(L75&lt;TODAY(),"Overdue",IF(L75-TODAY()&lt;=30,"Due within 30 days","OK"))))</f>
        <v/>
      </c>
      <c r="Q75" s="9" t="str">
        <f aca="false">IF($A75="","",IF(OR(LEN(TRIM(B75))=0,B75="NEEDS OWNER INPUT"),"What it does; ","")&amp;IF(OR(LEN(TRIM(D75))=0,D75="NEEDS OWNER INPUT"),"Builder; ","")&amp;IF(OR(LEN(TRIM(G75))=0,G75="NEEDS OWNER INPUT"),"Data it uses; ","")&amp;IF(OR(LEN(TRIM(H75))=0,H75="NEEDS OWNER INPUT"),"Data it must never receive; ","")&amp;IF(OR(LEN(TRIM(I75))=0,I75="NEEDS OWNER INPUT"),"Checklist; ","")&amp;IF(OR(LEN(TRIM(J75))=0,J75="NEEDS OWNER INPUT"),"When it is wrong; ","")&amp;IF(AND(M75&lt;&gt;"Yes",OR(LEN(TRIM(E75))=0,E75="NEEDS OWNER INPUT")),"Sign-off owner; ","")&amp;IF(NOT(ISNUMBER(L75)),"Next review date; ",""))</f>
        <v/>
      </c>
      <c r="R75" s="14"/>
      <c r="S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4"/>
      <c r="M76" s="11"/>
      <c r="N76" s="11"/>
      <c r="O76" s="9" t="str">
        <f aca="false">IF($A76="","",IF(Q76="","Cleared","Not cleared"))</f>
        <v/>
      </c>
      <c r="P76" s="9" t="str">
        <f aca="true">IF($A76="","",IF(NOT(ISNUMBER(L76)),"No review date",IF(L76&lt;TODAY(),"Overdue",IF(L76-TODAY()&lt;=30,"Due within 30 days","OK"))))</f>
        <v/>
      </c>
      <c r="Q76" s="9" t="str">
        <f aca="false">IF($A76="","",IF(OR(LEN(TRIM(B76))=0,B76="NEEDS OWNER INPUT"),"What it does; ","")&amp;IF(OR(LEN(TRIM(D76))=0,D76="NEEDS OWNER INPUT"),"Builder; ","")&amp;IF(OR(LEN(TRIM(G76))=0,G76="NEEDS OWNER INPUT"),"Data it uses; ","")&amp;IF(OR(LEN(TRIM(H76))=0,H76="NEEDS OWNER INPUT"),"Data it must never receive; ","")&amp;IF(OR(LEN(TRIM(I76))=0,I76="NEEDS OWNER INPUT"),"Checklist; ","")&amp;IF(OR(LEN(TRIM(J76))=0,J76="NEEDS OWNER INPUT"),"When it is wrong; ","")&amp;IF(AND(M76&lt;&gt;"Yes",OR(LEN(TRIM(E76))=0,E76="NEEDS OWNER INPUT")),"Sign-off owner; ","")&amp;IF(NOT(ISNUMBER(L76)),"Next review date; ",""))</f>
        <v/>
      </c>
      <c r="R76" s="14"/>
      <c r="S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4"/>
      <c r="M77" s="11"/>
      <c r="N77" s="11"/>
      <c r="O77" s="9" t="str">
        <f aca="false">IF($A77="","",IF(Q77="","Cleared","Not cleared"))</f>
        <v/>
      </c>
      <c r="P77" s="9" t="str">
        <f aca="true">IF($A77="","",IF(NOT(ISNUMBER(L77)),"No review date",IF(L77&lt;TODAY(),"Overdue",IF(L77-TODAY()&lt;=30,"Due within 30 days","OK"))))</f>
        <v/>
      </c>
      <c r="Q77" s="9" t="str">
        <f aca="false">IF($A77="","",IF(OR(LEN(TRIM(B77))=0,B77="NEEDS OWNER INPUT"),"What it does; ","")&amp;IF(OR(LEN(TRIM(D77))=0,D77="NEEDS OWNER INPUT"),"Builder; ","")&amp;IF(OR(LEN(TRIM(G77))=0,G77="NEEDS OWNER INPUT"),"Data it uses; ","")&amp;IF(OR(LEN(TRIM(H77))=0,H77="NEEDS OWNER INPUT"),"Data it must never receive; ","")&amp;IF(OR(LEN(TRIM(I77))=0,I77="NEEDS OWNER INPUT"),"Checklist; ","")&amp;IF(OR(LEN(TRIM(J77))=0,J77="NEEDS OWNER INPUT"),"When it is wrong; ","")&amp;IF(AND(M77&lt;&gt;"Yes",OR(LEN(TRIM(E77))=0,E77="NEEDS OWNER INPUT")),"Sign-off owner; ","")&amp;IF(NOT(ISNUMBER(L77)),"Next review date; ",""))</f>
        <v/>
      </c>
      <c r="R77" s="14"/>
      <c r="S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4"/>
      <c r="M78" s="11"/>
      <c r="N78" s="11"/>
      <c r="O78" s="9" t="str">
        <f aca="false">IF($A78="","",IF(Q78="","Cleared","Not cleared"))</f>
        <v/>
      </c>
      <c r="P78" s="9" t="str">
        <f aca="true">IF($A78="","",IF(NOT(ISNUMBER(L78)),"No review date",IF(L78&lt;TODAY(),"Overdue",IF(L78-TODAY()&lt;=30,"Due within 30 days","OK"))))</f>
        <v/>
      </c>
      <c r="Q78" s="9" t="str">
        <f aca="false">IF($A78="","",IF(OR(LEN(TRIM(B78))=0,B78="NEEDS OWNER INPUT"),"What it does; ","")&amp;IF(OR(LEN(TRIM(D78))=0,D78="NEEDS OWNER INPUT"),"Builder; ","")&amp;IF(OR(LEN(TRIM(G78))=0,G78="NEEDS OWNER INPUT"),"Data it uses; ","")&amp;IF(OR(LEN(TRIM(H78))=0,H78="NEEDS OWNER INPUT"),"Data it must never receive; ","")&amp;IF(OR(LEN(TRIM(I78))=0,I78="NEEDS OWNER INPUT"),"Checklist; ","")&amp;IF(OR(LEN(TRIM(J78))=0,J78="NEEDS OWNER INPUT"),"When it is wrong; ","")&amp;IF(AND(M78&lt;&gt;"Yes",OR(LEN(TRIM(E78))=0,E78="NEEDS OWNER INPUT")),"Sign-off owner; ","")&amp;IF(NOT(ISNUMBER(L78)),"Next review date; ",""))</f>
        <v/>
      </c>
      <c r="R78" s="14"/>
      <c r="S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4"/>
      <c r="M79" s="11"/>
      <c r="N79" s="11"/>
      <c r="O79" s="9" t="str">
        <f aca="false">IF($A79="","",IF(Q79="","Cleared","Not cleared"))</f>
        <v/>
      </c>
      <c r="P79" s="9" t="str">
        <f aca="true">IF($A79="","",IF(NOT(ISNUMBER(L79)),"No review date",IF(L79&lt;TODAY(),"Overdue",IF(L79-TODAY()&lt;=30,"Due within 30 days","OK"))))</f>
        <v/>
      </c>
      <c r="Q79" s="9" t="str">
        <f aca="false">IF($A79="","",IF(OR(LEN(TRIM(B79))=0,B79="NEEDS OWNER INPUT"),"What it does; ","")&amp;IF(OR(LEN(TRIM(D79))=0,D79="NEEDS OWNER INPUT"),"Builder; ","")&amp;IF(OR(LEN(TRIM(G79))=0,G79="NEEDS OWNER INPUT"),"Data it uses; ","")&amp;IF(OR(LEN(TRIM(H79))=0,H79="NEEDS OWNER INPUT"),"Data it must never receive; ","")&amp;IF(OR(LEN(TRIM(I79))=0,I79="NEEDS OWNER INPUT"),"Checklist; ","")&amp;IF(OR(LEN(TRIM(J79))=0,J79="NEEDS OWNER INPUT"),"When it is wrong; ","")&amp;IF(AND(M79&lt;&gt;"Yes",OR(LEN(TRIM(E79))=0,E79="NEEDS OWNER INPUT")),"Sign-off owner; ","")&amp;IF(NOT(ISNUMBER(L79)),"Next review date; ",""))</f>
        <v/>
      </c>
      <c r="R79" s="14"/>
      <c r="S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4"/>
      <c r="M80" s="11"/>
      <c r="N80" s="11"/>
      <c r="O80" s="9" t="str">
        <f aca="false">IF($A80="","",IF(Q80="","Cleared","Not cleared"))</f>
        <v/>
      </c>
      <c r="P80" s="9" t="str">
        <f aca="true">IF($A80="","",IF(NOT(ISNUMBER(L80)),"No review date",IF(L80&lt;TODAY(),"Overdue",IF(L80-TODAY()&lt;=30,"Due within 30 days","OK"))))</f>
        <v/>
      </c>
      <c r="Q80" s="9" t="str">
        <f aca="false">IF($A80="","",IF(OR(LEN(TRIM(B80))=0,B80="NEEDS OWNER INPUT"),"What it does; ","")&amp;IF(OR(LEN(TRIM(D80))=0,D80="NEEDS OWNER INPUT"),"Builder; ","")&amp;IF(OR(LEN(TRIM(G80))=0,G80="NEEDS OWNER INPUT"),"Data it uses; ","")&amp;IF(OR(LEN(TRIM(H80))=0,H80="NEEDS OWNER INPUT"),"Data it must never receive; ","")&amp;IF(OR(LEN(TRIM(I80))=0,I80="NEEDS OWNER INPUT"),"Checklist; ","")&amp;IF(OR(LEN(TRIM(J80))=0,J80="NEEDS OWNER INPUT"),"When it is wrong; ","")&amp;IF(AND(M80&lt;&gt;"Yes",OR(LEN(TRIM(E80))=0,E80="NEEDS OWNER INPUT")),"Sign-off owner; ","")&amp;IF(NOT(ISNUMBER(L80)),"Next review date; ",""))</f>
        <v/>
      </c>
      <c r="R80" s="14"/>
      <c r="S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4"/>
      <c r="M81" s="11"/>
      <c r="N81" s="11"/>
      <c r="O81" s="9" t="str">
        <f aca="false">IF($A81="","",IF(Q81="","Cleared","Not cleared"))</f>
        <v/>
      </c>
      <c r="P81" s="9" t="str">
        <f aca="true">IF($A81="","",IF(NOT(ISNUMBER(L81)),"No review date",IF(L81&lt;TODAY(),"Overdue",IF(L81-TODAY()&lt;=30,"Due within 30 days","OK"))))</f>
        <v/>
      </c>
      <c r="Q81" s="9" t="str">
        <f aca="false">IF($A81="","",IF(OR(LEN(TRIM(B81))=0,B81="NEEDS OWNER INPUT"),"What it does; ","")&amp;IF(OR(LEN(TRIM(D81))=0,D81="NEEDS OWNER INPUT"),"Builder; ","")&amp;IF(OR(LEN(TRIM(G81))=0,G81="NEEDS OWNER INPUT"),"Data it uses; ","")&amp;IF(OR(LEN(TRIM(H81))=0,H81="NEEDS OWNER INPUT"),"Data it must never receive; ","")&amp;IF(OR(LEN(TRIM(I81))=0,I81="NEEDS OWNER INPUT"),"Checklist; ","")&amp;IF(OR(LEN(TRIM(J81))=0,J81="NEEDS OWNER INPUT"),"When it is wrong; ","")&amp;IF(AND(M81&lt;&gt;"Yes",OR(LEN(TRIM(E81))=0,E81="NEEDS OWNER INPUT")),"Sign-off owner; ","")&amp;IF(NOT(ISNUMBER(L81)),"Next review date; ",""))</f>
        <v/>
      </c>
      <c r="R81" s="14"/>
      <c r="S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4"/>
      <c r="M82" s="11"/>
      <c r="N82" s="11"/>
      <c r="O82" s="9" t="str">
        <f aca="false">IF($A82="","",IF(Q82="","Cleared","Not cleared"))</f>
        <v/>
      </c>
      <c r="P82" s="9" t="str">
        <f aca="true">IF($A82="","",IF(NOT(ISNUMBER(L82)),"No review date",IF(L82&lt;TODAY(),"Overdue",IF(L82-TODAY()&lt;=30,"Due within 30 days","OK"))))</f>
        <v/>
      </c>
      <c r="Q82" s="9" t="str">
        <f aca="false">IF($A82="","",IF(OR(LEN(TRIM(B82))=0,B82="NEEDS OWNER INPUT"),"What it does; ","")&amp;IF(OR(LEN(TRIM(D82))=0,D82="NEEDS OWNER INPUT"),"Builder; ","")&amp;IF(OR(LEN(TRIM(G82))=0,G82="NEEDS OWNER INPUT"),"Data it uses; ","")&amp;IF(OR(LEN(TRIM(H82))=0,H82="NEEDS OWNER INPUT"),"Data it must never receive; ","")&amp;IF(OR(LEN(TRIM(I82))=0,I82="NEEDS OWNER INPUT"),"Checklist; ","")&amp;IF(OR(LEN(TRIM(J82))=0,J82="NEEDS OWNER INPUT"),"When it is wrong; ","")&amp;IF(AND(M82&lt;&gt;"Yes",OR(LEN(TRIM(E82))=0,E82="NEEDS OWNER INPUT")),"Sign-off owner; ","")&amp;IF(NOT(ISNUMBER(L82)),"Next review date; ",""))</f>
        <v/>
      </c>
      <c r="R82" s="14"/>
      <c r="S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4"/>
      <c r="M83" s="11"/>
      <c r="N83" s="11"/>
      <c r="O83" s="9" t="str">
        <f aca="false">IF($A83="","",IF(Q83="","Cleared","Not cleared"))</f>
        <v/>
      </c>
      <c r="P83" s="9" t="str">
        <f aca="true">IF($A83="","",IF(NOT(ISNUMBER(L83)),"No review date",IF(L83&lt;TODAY(),"Overdue",IF(L83-TODAY()&lt;=30,"Due within 30 days","OK"))))</f>
        <v/>
      </c>
      <c r="Q83" s="9" t="str">
        <f aca="false">IF($A83="","",IF(OR(LEN(TRIM(B83))=0,B83="NEEDS OWNER INPUT"),"What it does; ","")&amp;IF(OR(LEN(TRIM(D83))=0,D83="NEEDS OWNER INPUT"),"Builder; ","")&amp;IF(OR(LEN(TRIM(G83))=0,G83="NEEDS OWNER INPUT"),"Data it uses; ","")&amp;IF(OR(LEN(TRIM(H83))=0,H83="NEEDS OWNER INPUT"),"Data it must never receive; ","")&amp;IF(OR(LEN(TRIM(I83))=0,I83="NEEDS OWNER INPUT"),"Checklist; ","")&amp;IF(OR(LEN(TRIM(J83))=0,J83="NEEDS OWNER INPUT"),"When it is wrong; ","")&amp;IF(AND(M83&lt;&gt;"Yes",OR(LEN(TRIM(E83))=0,E83="NEEDS OWNER INPUT")),"Sign-off owner; ","")&amp;IF(NOT(ISNUMBER(L83)),"Next review date; ",""))</f>
        <v/>
      </c>
      <c r="R83" s="14"/>
      <c r="S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4"/>
      <c r="M84" s="11"/>
      <c r="N84" s="11"/>
      <c r="O84" s="9" t="str">
        <f aca="false">IF($A84="","",IF(Q84="","Cleared","Not cleared"))</f>
        <v/>
      </c>
      <c r="P84" s="9" t="str">
        <f aca="true">IF($A84="","",IF(NOT(ISNUMBER(L84)),"No review date",IF(L84&lt;TODAY(),"Overdue",IF(L84-TODAY()&lt;=30,"Due within 30 days","OK"))))</f>
        <v/>
      </c>
      <c r="Q84" s="9" t="str">
        <f aca="false">IF($A84="","",IF(OR(LEN(TRIM(B84))=0,B84="NEEDS OWNER INPUT"),"What it does; ","")&amp;IF(OR(LEN(TRIM(D84))=0,D84="NEEDS OWNER INPUT"),"Builder; ","")&amp;IF(OR(LEN(TRIM(G84))=0,G84="NEEDS OWNER INPUT"),"Data it uses; ","")&amp;IF(OR(LEN(TRIM(H84))=0,H84="NEEDS OWNER INPUT"),"Data it must never receive; ","")&amp;IF(OR(LEN(TRIM(I84))=0,I84="NEEDS OWNER INPUT"),"Checklist; ","")&amp;IF(OR(LEN(TRIM(J84))=0,J84="NEEDS OWNER INPUT"),"When it is wrong; ","")&amp;IF(AND(M84&lt;&gt;"Yes",OR(LEN(TRIM(E84))=0,E84="NEEDS OWNER INPUT")),"Sign-off owner; ","")&amp;IF(NOT(ISNUMBER(L84)),"Next review date; ",""))</f>
        <v/>
      </c>
      <c r="R84" s="14"/>
      <c r="S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4"/>
      <c r="M85" s="11"/>
      <c r="N85" s="11"/>
      <c r="O85" s="9" t="str">
        <f aca="false">IF($A85="","",IF(Q85="","Cleared","Not cleared"))</f>
        <v/>
      </c>
      <c r="P85" s="9" t="str">
        <f aca="true">IF($A85="","",IF(NOT(ISNUMBER(L85)),"No review date",IF(L85&lt;TODAY(),"Overdue",IF(L85-TODAY()&lt;=30,"Due within 30 days","OK"))))</f>
        <v/>
      </c>
      <c r="Q85" s="9" t="str">
        <f aca="false">IF($A85="","",IF(OR(LEN(TRIM(B85))=0,B85="NEEDS OWNER INPUT"),"What it does; ","")&amp;IF(OR(LEN(TRIM(D85))=0,D85="NEEDS OWNER INPUT"),"Builder; ","")&amp;IF(OR(LEN(TRIM(G85))=0,G85="NEEDS OWNER INPUT"),"Data it uses; ","")&amp;IF(OR(LEN(TRIM(H85))=0,H85="NEEDS OWNER INPUT"),"Data it must never receive; ","")&amp;IF(OR(LEN(TRIM(I85))=0,I85="NEEDS OWNER INPUT"),"Checklist; ","")&amp;IF(OR(LEN(TRIM(J85))=0,J85="NEEDS OWNER INPUT"),"When it is wrong; ","")&amp;IF(AND(M85&lt;&gt;"Yes",OR(LEN(TRIM(E85))=0,E85="NEEDS OWNER INPUT")),"Sign-off owner; ","")&amp;IF(NOT(ISNUMBER(L85)),"Next review date; ",""))</f>
        <v/>
      </c>
      <c r="R85" s="14"/>
      <c r="S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4"/>
      <c r="M86" s="11"/>
      <c r="N86" s="11"/>
      <c r="O86" s="9" t="str">
        <f aca="false">IF($A86="","",IF(Q86="","Cleared","Not cleared"))</f>
        <v/>
      </c>
      <c r="P86" s="9" t="str">
        <f aca="true">IF($A86="","",IF(NOT(ISNUMBER(L86)),"No review date",IF(L86&lt;TODAY(),"Overdue",IF(L86-TODAY()&lt;=30,"Due within 30 days","OK"))))</f>
        <v/>
      </c>
      <c r="Q86" s="9" t="str">
        <f aca="false">IF($A86="","",IF(OR(LEN(TRIM(B86))=0,B86="NEEDS OWNER INPUT"),"What it does; ","")&amp;IF(OR(LEN(TRIM(D86))=0,D86="NEEDS OWNER INPUT"),"Builder; ","")&amp;IF(OR(LEN(TRIM(G86))=0,G86="NEEDS OWNER INPUT"),"Data it uses; ","")&amp;IF(OR(LEN(TRIM(H86))=0,H86="NEEDS OWNER INPUT"),"Data it must never receive; ","")&amp;IF(OR(LEN(TRIM(I86))=0,I86="NEEDS OWNER INPUT"),"Checklist; ","")&amp;IF(OR(LEN(TRIM(J86))=0,J86="NEEDS OWNER INPUT"),"When it is wrong; ","")&amp;IF(AND(M86&lt;&gt;"Yes",OR(LEN(TRIM(E86))=0,E86="NEEDS OWNER INPUT")),"Sign-off owner; ","")&amp;IF(NOT(ISNUMBER(L86)),"Next review date; ",""))</f>
        <v/>
      </c>
      <c r="R86" s="14"/>
      <c r="S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4"/>
      <c r="M87" s="11"/>
      <c r="N87" s="11"/>
      <c r="O87" s="9" t="str">
        <f aca="false">IF($A87="","",IF(Q87="","Cleared","Not cleared"))</f>
        <v/>
      </c>
      <c r="P87" s="9" t="str">
        <f aca="true">IF($A87="","",IF(NOT(ISNUMBER(L87)),"No review date",IF(L87&lt;TODAY(),"Overdue",IF(L87-TODAY()&lt;=30,"Due within 30 days","OK"))))</f>
        <v/>
      </c>
      <c r="Q87" s="9" t="str">
        <f aca="false">IF($A87="","",IF(OR(LEN(TRIM(B87))=0,B87="NEEDS OWNER INPUT"),"What it does; ","")&amp;IF(OR(LEN(TRIM(D87))=0,D87="NEEDS OWNER INPUT"),"Builder; ","")&amp;IF(OR(LEN(TRIM(G87))=0,G87="NEEDS OWNER INPUT"),"Data it uses; ","")&amp;IF(OR(LEN(TRIM(H87))=0,H87="NEEDS OWNER INPUT"),"Data it must never receive; ","")&amp;IF(OR(LEN(TRIM(I87))=0,I87="NEEDS OWNER INPUT"),"Checklist; ","")&amp;IF(OR(LEN(TRIM(J87))=0,J87="NEEDS OWNER INPUT"),"When it is wrong; ","")&amp;IF(AND(M87&lt;&gt;"Yes",OR(LEN(TRIM(E87))=0,E87="NEEDS OWNER INPUT")),"Sign-off owner; ","")&amp;IF(NOT(ISNUMBER(L87)),"Next review date; ",""))</f>
        <v/>
      </c>
      <c r="R87" s="14"/>
      <c r="S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4"/>
      <c r="M88" s="11"/>
      <c r="N88" s="11"/>
      <c r="O88" s="9" t="str">
        <f aca="false">IF($A88="","",IF(Q88="","Cleared","Not cleared"))</f>
        <v/>
      </c>
      <c r="P88" s="9" t="str">
        <f aca="true">IF($A88="","",IF(NOT(ISNUMBER(L88)),"No review date",IF(L88&lt;TODAY(),"Overdue",IF(L88-TODAY()&lt;=30,"Due within 30 days","OK"))))</f>
        <v/>
      </c>
      <c r="Q88" s="9" t="str">
        <f aca="false">IF($A88="","",IF(OR(LEN(TRIM(B88))=0,B88="NEEDS OWNER INPUT"),"What it does; ","")&amp;IF(OR(LEN(TRIM(D88))=0,D88="NEEDS OWNER INPUT"),"Builder; ","")&amp;IF(OR(LEN(TRIM(G88))=0,G88="NEEDS OWNER INPUT"),"Data it uses; ","")&amp;IF(OR(LEN(TRIM(H88))=0,H88="NEEDS OWNER INPUT"),"Data it must never receive; ","")&amp;IF(OR(LEN(TRIM(I88))=0,I88="NEEDS OWNER INPUT"),"Checklist; ","")&amp;IF(OR(LEN(TRIM(J88))=0,J88="NEEDS OWNER INPUT"),"When it is wrong; ","")&amp;IF(AND(M88&lt;&gt;"Yes",OR(LEN(TRIM(E88))=0,E88="NEEDS OWNER INPUT")),"Sign-off owner; ","")&amp;IF(NOT(ISNUMBER(L88)),"Next review date; ",""))</f>
        <v/>
      </c>
      <c r="R88" s="14"/>
      <c r="S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4"/>
      <c r="M89" s="11"/>
      <c r="N89" s="11"/>
      <c r="O89" s="9" t="str">
        <f aca="false">IF($A89="","",IF(Q89="","Cleared","Not cleared"))</f>
        <v/>
      </c>
      <c r="P89" s="9" t="str">
        <f aca="true">IF($A89="","",IF(NOT(ISNUMBER(L89)),"No review date",IF(L89&lt;TODAY(),"Overdue",IF(L89-TODAY()&lt;=30,"Due within 30 days","OK"))))</f>
        <v/>
      </c>
      <c r="Q89" s="9" t="str">
        <f aca="false">IF($A89="","",IF(OR(LEN(TRIM(B89))=0,B89="NEEDS OWNER INPUT"),"What it does; ","")&amp;IF(OR(LEN(TRIM(D89))=0,D89="NEEDS OWNER INPUT"),"Builder; ","")&amp;IF(OR(LEN(TRIM(G89))=0,G89="NEEDS OWNER INPUT"),"Data it uses; ","")&amp;IF(OR(LEN(TRIM(H89))=0,H89="NEEDS OWNER INPUT"),"Data it must never receive; ","")&amp;IF(OR(LEN(TRIM(I89))=0,I89="NEEDS OWNER INPUT"),"Checklist; ","")&amp;IF(OR(LEN(TRIM(J89))=0,J89="NEEDS OWNER INPUT"),"When it is wrong; ","")&amp;IF(AND(M89&lt;&gt;"Yes",OR(LEN(TRIM(E89))=0,E89="NEEDS OWNER INPUT")),"Sign-off owner; ","")&amp;IF(NOT(ISNUMBER(L89)),"Next review date; ",""))</f>
        <v/>
      </c>
      <c r="R89" s="14"/>
      <c r="S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4"/>
      <c r="M90" s="11"/>
      <c r="N90" s="11"/>
      <c r="O90" s="9" t="str">
        <f aca="false">IF($A90="","",IF(Q90="","Cleared","Not cleared"))</f>
        <v/>
      </c>
      <c r="P90" s="9" t="str">
        <f aca="true">IF($A90="","",IF(NOT(ISNUMBER(L90)),"No review date",IF(L90&lt;TODAY(),"Overdue",IF(L90-TODAY()&lt;=30,"Due within 30 days","OK"))))</f>
        <v/>
      </c>
      <c r="Q90" s="9" t="str">
        <f aca="false">IF($A90="","",IF(OR(LEN(TRIM(B90))=0,B90="NEEDS OWNER INPUT"),"What it does; ","")&amp;IF(OR(LEN(TRIM(D90))=0,D90="NEEDS OWNER INPUT"),"Builder; ","")&amp;IF(OR(LEN(TRIM(G90))=0,G90="NEEDS OWNER INPUT"),"Data it uses; ","")&amp;IF(OR(LEN(TRIM(H90))=0,H90="NEEDS OWNER INPUT"),"Data it must never receive; ","")&amp;IF(OR(LEN(TRIM(I90))=0,I90="NEEDS OWNER INPUT"),"Checklist; ","")&amp;IF(OR(LEN(TRIM(J90))=0,J90="NEEDS OWNER INPUT"),"When it is wrong; ","")&amp;IF(AND(M90&lt;&gt;"Yes",OR(LEN(TRIM(E90))=0,E90="NEEDS OWNER INPUT")),"Sign-off owner; ","")&amp;IF(NOT(ISNUMBER(L90)),"Next review date; ",""))</f>
        <v/>
      </c>
      <c r="R90" s="14"/>
      <c r="S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4"/>
      <c r="M91" s="11"/>
      <c r="N91" s="11"/>
      <c r="O91" s="9" t="str">
        <f aca="false">IF($A91="","",IF(Q91="","Cleared","Not cleared"))</f>
        <v/>
      </c>
      <c r="P91" s="9" t="str">
        <f aca="true">IF($A91="","",IF(NOT(ISNUMBER(L91)),"No review date",IF(L91&lt;TODAY(),"Overdue",IF(L91-TODAY()&lt;=30,"Due within 30 days","OK"))))</f>
        <v/>
      </c>
      <c r="Q91" s="9" t="str">
        <f aca="false">IF($A91="","",IF(OR(LEN(TRIM(B91))=0,B91="NEEDS OWNER INPUT"),"What it does; ","")&amp;IF(OR(LEN(TRIM(D91))=0,D91="NEEDS OWNER INPUT"),"Builder; ","")&amp;IF(OR(LEN(TRIM(G91))=0,G91="NEEDS OWNER INPUT"),"Data it uses; ","")&amp;IF(OR(LEN(TRIM(H91))=0,H91="NEEDS OWNER INPUT"),"Data it must never receive; ","")&amp;IF(OR(LEN(TRIM(I91))=0,I91="NEEDS OWNER INPUT"),"Checklist; ","")&amp;IF(OR(LEN(TRIM(J91))=0,J91="NEEDS OWNER INPUT"),"When it is wrong; ","")&amp;IF(AND(M91&lt;&gt;"Yes",OR(LEN(TRIM(E91))=0,E91="NEEDS OWNER INPUT")),"Sign-off owner; ","")&amp;IF(NOT(ISNUMBER(L91)),"Next review date; ",""))</f>
        <v/>
      </c>
      <c r="R91" s="14"/>
      <c r="S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4"/>
      <c r="M92" s="11"/>
      <c r="N92" s="11"/>
      <c r="O92" s="9" t="str">
        <f aca="false">IF($A92="","",IF(Q92="","Cleared","Not cleared"))</f>
        <v/>
      </c>
      <c r="P92" s="9" t="str">
        <f aca="true">IF($A92="","",IF(NOT(ISNUMBER(L92)),"No review date",IF(L92&lt;TODAY(),"Overdue",IF(L92-TODAY()&lt;=30,"Due within 30 days","OK"))))</f>
        <v/>
      </c>
      <c r="Q92" s="9" t="str">
        <f aca="false">IF($A92="","",IF(OR(LEN(TRIM(B92))=0,B92="NEEDS OWNER INPUT"),"What it does; ","")&amp;IF(OR(LEN(TRIM(D92))=0,D92="NEEDS OWNER INPUT"),"Builder; ","")&amp;IF(OR(LEN(TRIM(G92))=0,G92="NEEDS OWNER INPUT"),"Data it uses; ","")&amp;IF(OR(LEN(TRIM(H92))=0,H92="NEEDS OWNER INPUT"),"Data it must never receive; ","")&amp;IF(OR(LEN(TRIM(I92))=0,I92="NEEDS OWNER INPUT"),"Checklist; ","")&amp;IF(OR(LEN(TRIM(J92))=0,J92="NEEDS OWNER INPUT"),"When it is wrong; ","")&amp;IF(AND(M92&lt;&gt;"Yes",OR(LEN(TRIM(E92))=0,E92="NEEDS OWNER INPUT")),"Sign-off owner; ","")&amp;IF(NOT(ISNUMBER(L92)),"Next review date; ",""))</f>
        <v/>
      </c>
      <c r="R92" s="14"/>
      <c r="S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4"/>
      <c r="M93" s="11"/>
      <c r="N93" s="11"/>
      <c r="O93" s="9" t="str">
        <f aca="false">IF($A93="","",IF(Q93="","Cleared","Not cleared"))</f>
        <v/>
      </c>
      <c r="P93" s="9" t="str">
        <f aca="true">IF($A93="","",IF(NOT(ISNUMBER(L93)),"No review date",IF(L93&lt;TODAY(),"Overdue",IF(L93-TODAY()&lt;=30,"Due within 30 days","OK"))))</f>
        <v/>
      </c>
      <c r="Q93" s="9" t="str">
        <f aca="false">IF($A93="","",IF(OR(LEN(TRIM(B93))=0,B93="NEEDS OWNER INPUT"),"What it does; ","")&amp;IF(OR(LEN(TRIM(D93))=0,D93="NEEDS OWNER INPUT"),"Builder; ","")&amp;IF(OR(LEN(TRIM(G93))=0,G93="NEEDS OWNER INPUT"),"Data it uses; ","")&amp;IF(OR(LEN(TRIM(H93))=0,H93="NEEDS OWNER INPUT"),"Data it must never receive; ","")&amp;IF(OR(LEN(TRIM(I93))=0,I93="NEEDS OWNER INPUT"),"Checklist; ","")&amp;IF(OR(LEN(TRIM(J93))=0,J93="NEEDS OWNER INPUT"),"When it is wrong; ","")&amp;IF(AND(M93&lt;&gt;"Yes",OR(LEN(TRIM(E93))=0,E93="NEEDS OWNER INPUT")),"Sign-off owner; ","")&amp;IF(NOT(ISNUMBER(L93)),"Next review date; ",""))</f>
        <v/>
      </c>
      <c r="R93" s="14"/>
      <c r="S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4"/>
      <c r="M94" s="11"/>
      <c r="N94" s="11"/>
      <c r="O94" s="9" t="str">
        <f aca="false">IF($A94="","",IF(Q94="","Cleared","Not cleared"))</f>
        <v/>
      </c>
      <c r="P94" s="9" t="str">
        <f aca="true">IF($A94="","",IF(NOT(ISNUMBER(L94)),"No review date",IF(L94&lt;TODAY(),"Overdue",IF(L94-TODAY()&lt;=30,"Due within 30 days","OK"))))</f>
        <v/>
      </c>
      <c r="Q94" s="9" t="str">
        <f aca="false">IF($A94="","",IF(OR(LEN(TRIM(B94))=0,B94="NEEDS OWNER INPUT"),"What it does; ","")&amp;IF(OR(LEN(TRIM(D94))=0,D94="NEEDS OWNER INPUT"),"Builder; ","")&amp;IF(OR(LEN(TRIM(G94))=0,G94="NEEDS OWNER INPUT"),"Data it uses; ","")&amp;IF(OR(LEN(TRIM(H94))=0,H94="NEEDS OWNER INPUT"),"Data it must never receive; ","")&amp;IF(OR(LEN(TRIM(I94))=0,I94="NEEDS OWNER INPUT"),"Checklist; ","")&amp;IF(OR(LEN(TRIM(J94))=0,J94="NEEDS OWNER INPUT"),"When it is wrong; ","")&amp;IF(AND(M94&lt;&gt;"Yes",OR(LEN(TRIM(E94))=0,E94="NEEDS OWNER INPUT")),"Sign-off owner; ","")&amp;IF(NOT(ISNUMBER(L94)),"Next review date; ",""))</f>
        <v/>
      </c>
      <c r="R94" s="14"/>
      <c r="S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4"/>
      <c r="M95" s="11"/>
      <c r="N95" s="11"/>
      <c r="O95" s="9" t="str">
        <f aca="false">IF($A95="","",IF(Q95="","Cleared","Not cleared"))</f>
        <v/>
      </c>
      <c r="P95" s="9" t="str">
        <f aca="true">IF($A95="","",IF(NOT(ISNUMBER(L95)),"No review date",IF(L95&lt;TODAY(),"Overdue",IF(L95-TODAY()&lt;=30,"Due within 30 days","OK"))))</f>
        <v/>
      </c>
      <c r="Q95" s="9" t="str">
        <f aca="false">IF($A95="","",IF(OR(LEN(TRIM(B95))=0,B95="NEEDS OWNER INPUT"),"What it does; ","")&amp;IF(OR(LEN(TRIM(D95))=0,D95="NEEDS OWNER INPUT"),"Builder; ","")&amp;IF(OR(LEN(TRIM(G95))=0,G95="NEEDS OWNER INPUT"),"Data it uses; ","")&amp;IF(OR(LEN(TRIM(H95))=0,H95="NEEDS OWNER INPUT"),"Data it must never receive; ","")&amp;IF(OR(LEN(TRIM(I95))=0,I95="NEEDS OWNER INPUT"),"Checklist; ","")&amp;IF(OR(LEN(TRIM(J95))=0,J95="NEEDS OWNER INPUT"),"When it is wrong; ","")&amp;IF(AND(M95&lt;&gt;"Yes",OR(LEN(TRIM(E95))=0,E95="NEEDS OWNER INPUT")),"Sign-off owner; ","")&amp;IF(NOT(ISNUMBER(L95)),"Next review date; ",""))</f>
        <v/>
      </c>
      <c r="R95" s="14"/>
      <c r="S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4"/>
      <c r="M96" s="11"/>
      <c r="N96" s="11"/>
      <c r="O96" s="9" t="str">
        <f aca="false">IF($A96="","",IF(Q96="","Cleared","Not cleared"))</f>
        <v/>
      </c>
      <c r="P96" s="9" t="str">
        <f aca="true">IF($A96="","",IF(NOT(ISNUMBER(L96)),"No review date",IF(L96&lt;TODAY(),"Overdue",IF(L96-TODAY()&lt;=30,"Due within 30 days","OK"))))</f>
        <v/>
      </c>
      <c r="Q96" s="9" t="str">
        <f aca="false">IF($A96="","",IF(OR(LEN(TRIM(B96))=0,B96="NEEDS OWNER INPUT"),"What it does; ","")&amp;IF(OR(LEN(TRIM(D96))=0,D96="NEEDS OWNER INPUT"),"Builder; ","")&amp;IF(OR(LEN(TRIM(G96))=0,G96="NEEDS OWNER INPUT"),"Data it uses; ","")&amp;IF(OR(LEN(TRIM(H96))=0,H96="NEEDS OWNER INPUT"),"Data it must never receive; ","")&amp;IF(OR(LEN(TRIM(I96))=0,I96="NEEDS OWNER INPUT"),"Checklist; ","")&amp;IF(OR(LEN(TRIM(J96))=0,J96="NEEDS OWNER INPUT"),"When it is wrong; ","")&amp;IF(AND(M96&lt;&gt;"Yes",OR(LEN(TRIM(E96))=0,E96="NEEDS OWNER INPUT")),"Sign-off owner; ","")&amp;IF(NOT(ISNUMBER(L96)),"Next review date; ",""))</f>
        <v/>
      </c>
      <c r="R96" s="14"/>
      <c r="S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4"/>
      <c r="M97" s="11"/>
      <c r="N97" s="11"/>
      <c r="O97" s="9" t="str">
        <f aca="false">IF($A97="","",IF(Q97="","Cleared","Not cleared"))</f>
        <v/>
      </c>
      <c r="P97" s="9" t="str">
        <f aca="true">IF($A97="","",IF(NOT(ISNUMBER(L97)),"No review date",IF(L97&lt;TODAY(),"Overdue",IF(L97-TODAY()&lt;=30,"Due within 30 days","OK"))))</f>
        <v/>
      </c>
      <c r="Q97" s="9" t="str">
        <f aca="false">IF($A97="","",IF(OR(LEN(TRIM(B97))=0,B97="NEEDS OWNER INPUT"),"What it does; ","")&amp;IF(OR(LEN(TRIM(D97))=0,D97="NEEDS OWNER INPUT"),"Builder; ","")&amp;IF(OR(LEN(TRIM(G97))=0,G97="NEEDS OWNER INPUT"),"Data it uses; ","")&amp;IF(OR(LEN(TRIM(H97))=0,H97="NEEDS OWNER INPUT"),"Data it must never receive; ","")&amp;IF(OR(LEN(TRIM(I97))=0,I97="NEEDS OWNER INPUT"),"Checklist; ","")&amp;IF(OR(LEN(TRIM(J97))=0,J97="NEEDS OWNER INPUT"),"When it is wrong; ","")&amp;IF(AND(M97&lt;&gt;"Yes",OR(LEN(TRIM(E97))=0,E97="NEEDS OWNER INPUT")),"Sign-off owner; ","")&amp;IF(NOT(ISNUMBER(L97)),"Next review date; ",""))</f>
        <v/>
      </c>
      <c r="R97" s="14"/>
      <c r="S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4"/>
      <c r="M98" s="11"/>
      <c r="N98" s="11"/>
      <c r="O98" s="9" t="str">
        <f aca="false">IF($A98="","",IF(Q98="","Cleared","Not cleared"))</f>
        <v/>
      </c>
      <c r="P98" s="9" t="str">
        <f aca="true">IF($A98="","",IF(NOT(ISNUMBER(L98)),"No review date",IF(L98&lt;TODAY(),"Overdue",IF(L98-TODAY()&lt;=30,"Due within 30 days","OK"))))</f>
        <v/>
      </c>
      <c r="Q98" s="9" t="str">
        <f aca="false">IF($A98="","",IF(OR(LEN(TRIM(B98))=0,B98="NEEDS OWNER INPUT"),"What it does; ","")&amp;IF(OR(LEN(TRIM(D98))=0,D98="NEEDS OWNER INPUT"),"Builder; ","")&amp;IF(OR(LEN(TRIM(G98))=0,G98="NEEDS OWNER INPUT"),"Data it uses; ","")&amp;IF(OR(LEN(TRIM(H98))=0,H98="NEEDS OWNER INPUT"),"Data it must never receive; ","")&amp;IF(OR(LEN(TRIM(I98))=0,I98="NEEDS OWNER INPUT"),"Checklist; ","")&amp;IF(OR(LEN(TRIM(J98))=0,J98="NEEDS OWNER INPUT"),"When it is wrong; ","")&amp;IF(AND(M98&lt;&gt;"Yes",OR(LEN(TRIM(E98))=0,E98="NEEDS OWNER INPUT")),"Sign-off owner; ","")&amp;IF(NOT(ISNUMBER(L98)),"Next review date; ",""))</f>
        <v/>
      </c>
      <c r="R98" s="14"/>
      <c r="S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4"/>
      <c r="M99" s="11"/>
      <c r="N99" s="11"/>
      <c r="O99" s="9" t="str">
        <f aca="false">IF($A99="","",IF(Q99="","Cleared","Not cleared"))</f>
        <v/>
      </c>
      <c r="P99" s="9" t="str">
        <f aca="true">IF($A99="","",IF(NOT(ISNUMBER(L99)),"No review date",IF(L99&lt;TODAY(),"Overdue",IF(L99-TODAY()&lt;=30,"Due within 30 days","OK"))))</f>
        <v/>
      </c>
      <c r="Q99" s="9" t="str">
        <f aca="false">IF($A99="","",IF(OR(LEN(TRIM(B99))=0,B99="NEEDS OWNER INPUT"),"What it does; ","")&amp;IF(OR(LEN(TRIM(D99))=0,D99="NEEDS OWNER INPUT"),"Builder; ","")&amp;IF(OR(LEN(TRIM(G99))=0,G99="NEEDS OWNER INPUT"),"Data it uses; ","")&amp;IF(OR(LEN(TRIM(H99))=0,H99="NEEDS OWNER INPUT"),"Data it must never receive; ","")&amp;IF(OR(LEN(TRIM(I99))=0,I99="NEEDS OWNER INPUT"),"Checklist; ","")&amp;IF(OR(LEN(TRIM(J99))=0,J99="NEEDS OWNER INPUT"),"When it is wrong; ","")&amp;IF(AND(M99&lt;&gt;"Yes",OR(LEN(TRIM(E99))=0,E99="NEEDS OWNER INPUT")),"Sign-off owner; ","")&amp;IF(NOT(ISNUMBER(L99)),"Next review date; ",""))</f>
        <v/>
      </c>
      <c r="R99" s="14"/>
      <c r="S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4"/>
      <c r="M100" s="11"/>
      <c r="N100" s="11"/>
      <c r="O100" s="9" t="str">
        <f aca="false">IF($A100="","",IF(Q100="","Cleared","Not cleared"))</f>
        <v/>
      </c>
      <c r="P100" s="9" t="str">
        <f aca="true">IF($A100="","",IF(NOT(ISNUMBER(L100)),"No review date",IF(L100&lt;TODAY(),"Overdue",IF(L100-TODAY()&lt;=30,"Due within 30 days","OK"))))</f>
        <v/>
      </c>
      <c r="Q100" s="9" t="str">
        <f aca="false">IF($A100="","",IF(OR(LEN(TRIM(B100))=0,B100="NEEDS OWNER INPUT"),"What it does; ","")&amp;IF(OR(LEN(TRIM(D100))=0,D100="NEEDS OWNER INPUT"),"Builder; ","")&amp;IF(OR(LEN(TRIM(G100))=0,G100="NEEDS OWNER INPUT"),"Data it uses; ","")&amp;IF(OR(LEN(TRIM(H100))=0,H100="NEEDS OWNER INPUT"),"Data it must never receive; ","")&amp;IF(OR(LEN(TRIM(I100))=0,I100="NEEDS OWNER INPUT"),"Checklist; ","")&amp;IF(OR(LEN(TRIM(J100))=0,J100="NEEDS OWNER INPUT"),"When it is wrong; ","")&amp;IF(AND(M100&lt;&gt;"Yes",OR(LEN(TRIM(E100))=0,E100="NEEDS OWNER INPUT")),"Sign-off owner; ","")&amp;IF(NOT(ISNUMBER(L100)),"Next review date; ",""))</f>
        <v/>
      </c>
      <c r="R100" s="14"/>
      <c r="S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4"/>
      <c r="M101" s="11"/>
      <c r="N101" s="11"/>
      <c r="O101" s="9" t="str">
        <f aca="false">IF($A101="","",IF(Q101="","Cleared","Not cleared"))</f>
        <v/>
      </c>
      <c r="P101" s="9" t="str">
        <f aca="true">IF($A101="","",IF(NOT(ISNUMBER(L101)),"No review date",IF(L101&lt;TODAY(),"Overdue",IF(L101-TODAY()&lt;=30,"Due within 30 days","OK"))))</f>
        <v/>
      </c>
      <c r="Q101" s="9" t="str">
        <f aca="false">IF($A101="","",IF(OR(LEN(TRIM(B101))=0,B101="NEEDS OWNER INPUT"),"What it does; ","")&amp;IF(OR(LEN(TRIM(D101))=0,D101="NEEDS OWNER INPUT"),"Builder; ","")&amp;IF(OR(LEN(TRIM(G101))=0,G101="NEEDS OWNER INPUT"),"Data it uses; ","")&amp;IF(OR(LEN(TRIM(H101))=0,H101="NEEDS OWNER INPUT"),"Data it must never receive; ","")&amp;IF(OR(LEN(TRIM(I101))=0,I101="NEEDS OWNER INPUT"),"Checklist; ","")&amp;IF(OR(LEN(TRIM(J101))=0,J101="NEEDS OWNER INPUT"),"When it is wrong; ","")&amp;IF(AND(M101&lt;&gt;"Yes",OR(LEN(TRIM(E101))=0,E101="NEEDS OWNER INPUT")),"Sign-off owner; ","")&amp;IF(NOT(ISNUMBER(L101)),"Next review date; ",""))</f>
        <v/>
      </c>
      <c r="R101" s="14"/>
      <c r="S101" s="11"/>
    </row>
  </sheetData>
  <autoFilter ref="A1:S101"/>
  <conditionalFormatting sqref="O2:O101">
    <cfRule type="expression" priority="2" aboveAverage="0" equalAverage="0" bottom="0" percent="0" rank="0" text="" dxfId="0">
      <formula>O2="Cleared"</formula>
    </cfRule>
    <cfRule type="expression" priority="3" aboveAverage="0" equalAverage="0" bottom="0" percent="0" rank="0" text="" dxfId="1">
      <formula>O2="Not cleared"</formula>
    </cfRule>
  </conditionalFormatting>
  <conditionalFormatting sqref="P2:P101">
    <cfRule type="expression" priority="4" aboveAverage="0" equalAverage="0" bottom="0" percent="0" rank="0" text="" dxfId="1">
      <formula>P2="Overdue"</formula>
    </cfRule>
    <cfRule type="expression" priority="5" aboveAverage="0" equalAverage="0" bottom="0" percent="0" rank="0" text="" dxfId="9">
      <formula>P2="Due within 30 days"</formula>
    </cfRule>
  </conditionalFormatting>
  <dataValidations count="3">
    <dataValidation allowBlank="true" errorStyle="stop" operator="between" showDropDown="false" showErrorMessage="false" showInputMessage="false" sqref="M2:M101" type="list">
      <formula1>"Yes,No"</formula1>
      <formula2>0</formula2>
    </dataValidation>
    <dataValidation allowBlank="true" error="Enter a date (yyyy-mm-dd)." errorStyle="stop" errorTitle="Date" operator="greaterThan" showDropDown="false" showErrorMessage="false" showInputMessage="false" sqref="L2:L101 R2:R101" type="date">
      <formula1>DATE(2020,1,1)</formula1>
      <formula2>0</formula2>
    </dataValidation>
    <dataValidation allowBlank="true" error="Not in the list. Fine if it is a new platform; consider adding it to Lists." errorStyle="information" operator="between" showDropDown="false" showErrorMessage="false" showInputMessage="false" sqref="K2:K101" type="list">
      <formula1>Lists!$A$2:$A$8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36"/>
  </cols>
  <sheetData>
    <row r="1" customFormat="false" ht="26.85" hidden="false" customHeight="false" outlineLevel="0" collapsed="false">
      <c r="A1" s="13" t="s">
        <v>96</v>
      </c>
      <c r="B1" s="13" t="s">
        <v>97</v>
      </c>
      <c r="C1" s="13" t="s">
        <v>98</v>
      </c>
      <c r="D1" s="13" t="s">
        <v>99</v>
      </c>
      <c r="E1" s="13" t="s">
        <v>100</v>
      </c>
      <c r="F1" s="13" t="s">
        <v>101</v>
      </c>
    </row>
    <row r="2" customFormat="false" ht="23.85" hidden="false" customHeight="false" outlineLevel="0" collapsed="false">
      <c r="A2" s="14" t="n">
        <v>46309</v>
      </c>
      <c r="B2" s="11" t="s">
        <v>71</v>
      </c>
      <c r="C2" s="11" t="s">
        <v>102</v>
      </c>
      <c r="D2" s="11" t="s">
        <v>103</v>
      </c>
      <c r="E2" s="11" t="s">
        <v>104</v>
      </c>
      <c r="F2" s="11" t="s">
        <v>105</v>
      </c>
    </row>
    <row r="3" customFormat="false" ht="15" hidden="false" customHeight="false" outlineLevel="0" collapsed="false">
      <c r="A3" s="14"/>
      <c r="B3" s="11"/>
      <c r="C3" s="11"/>
      <c r="D3" s="11"/>
      <c r="E3" s="11"/>
      <c r="F3" s="11"/>
    </row>
    <row r="4" customFormat="false" ht="15" hidden="false" customHeight="false" outlineLevel="0" collapsed="false">
      <c r="A4" s="14"/>
      <c r="B4" s="11"/>
      <c r="C4" s="11"/>
      <c r="D4" s="11"/>
      <c r="E4" s="11"/>
      <c r="F4" s="11"/>
    </row>
    <row r="5" customFormat="false" ht="15" hidden="false" customHeight="false" outlineLevel="0" collapsed="false">
      <c r="A5" s="14"/>
      <c r="B5" s="11"/>
      <c r="C5" s="11"/>
      <c r="D5" s="11"/>
      <c r="E5" s="11"/>
      <c r="F5" s="11"/>
    </row>
    <row r="6" customFormat="false" ht="15" hidden="false" customHeight="false" outlineLevel="0" collapsed="false">
      <c r="A6" s="14"/>
      <c r="B6" s="11"/>
      <c r="C6" s="11"/>
      <c r="D6" s="11"/>
      <c r="E6" s="11"/>
      <c r="F6" s="11"/>
    </row>
    <row r="7" customFormat="false" ht="15" hidden="false" customHeight="false" outlineLevel="0" collapsed="false">
      <c r="A7" s="14"/>
      <c r="B7" s="11"/>
      <c r="C7" s="11"/>
      <c r="D7" s="11"/>
      <c r="E7" s="11"/>
      <c r="F7" s="11"/>
    </row>
    <row r="8" customFormat="false" ht="15" hidden="false" customHeight="false" outlineLevel="0" collapsed="false">
      <c r="A8" s="14"/>
      <c r="B8" s="11"/>
      <c r="C8" s="11"/>
      <c r="D8" s="11"/>
      <c r="E8" s="11"/>
      <c r="F8" s="11"/>
    </row>
    <row r="9" customFormat="false" ht="15" hidden="false" customHeight="false" outlineLevel="0" collapsed="false">
      <c r="A9" s="14"/>
      <c r="B9" s="11"/>
      <c r="C9" s="11"/>
      <c r="D9" s="11"/>
      <c r="E9" s="11"/>
      <c r="F9" s="11"/>
    </row>
    <row r="10" customFormat="false" ht="15" hidden="false" customHeight="false" outlineLevel="0" collapsed="false">
      <c r="A10" s="14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4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4"/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4"/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4"/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4"/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4"/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4"/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4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4"/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4"/>
      <c r="B20" s="11"/>
      <c r="C20" s="11"/>
      <c r="D20" s="11"/>
      <c r="E20" s="11"/>
      <c r="F20" s="11"/>
    </row>
    <row r="21" customFormat="false" ht="15" hidden="false" customHeight="false" outlineLevel="0" collapsed="false">
      <c r="A21" s="14"/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4"/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4"/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4"/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4"/>
      <c r="B25" s="11"/>
      <c r="C25" s="11"/>
      <c r="D25" s="11"/>
      <c r="E25" s="11"/>
      <c r="F25" s="11"/>
    </row>
    <row r="26" customFormat="false" ht="15" hidden="false" customHeight="false" outlineLevel="0" collapsed="false">
      <c r="A26" s="14"/>
      <c r="B26" s="11"/>
      <c r="C26" s="11"/>
      <c r="D26" s="11"/>
      <c r="E26" s="11"/>
      <c r="F26" s="11"/>
    </row>
    <row r="27" customFormat="false" ht="15" hidden="false" customHeight="false" outlineLevel="0" collapsed="false">
      <c r="A27" s="14"/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4"/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4"/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4"/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4"/>
      <c r="B31" s="11"/>
      <c r="C31" s="11"/>
      <c r="D31" s="11"/>
      <c r="E31" s="11"/>
      <c r="F31" s="11"/>
    </row>
    <row r="32" customFormat="false" ht="15" hidden="false" customHeight="false" outlineLevel="0" collapsed="false">
      <c r="A32" s="14"/>
      <c r="B32" s="11"/>
      <c r="C32" s="11"/>
      <c r="D32" s="11"/>
      <c r="E32" s="11"/>
      <c r="F32" s="11"/>
    </row>
    <row r="33" customFormat="false" ht="15" hidden="false" customHeight="false" outlineLevel="0" collapsed="false">
      <c r="A33" s="14"/>
      <c r="B33" s="11"/>
      <c r="C33" s="11"/>
      <c r="D33" s="11"/>
      <c r="E33" s="11"/>
      <c r="F33" s="11"/>
    </row>
    <row r="34" customFormat="false" ht="15" hidden="false" customHeight="false" outlineLevel="0" collapsed="false">
      <c r="A34" s="14"/>
      <c r="B34" s="11"/>
      <c r="C34" s="11"/>
      <c r="D34" s="11"/>
      <c r="E34" s="11"/>
      <c r="F34" s="11"/>
    </row>
    <row r="35" customFormat="false" ht="15" hidden="false" customHeight="false" outlineLevel="0" collapsed="false">
      <c r="A35" s="14"/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4"/>
      <c r="B36" s="11"/>
      <c r="C36" s="11"/>
      <c r="D36" s="11"/>
      <c r="E36" s="11"/>
      <c r="F36" s="11"/>
    </row>
    <row r="37" customFormat="false" ht="15" hidden="false" customHeight="false" outlineLevel="0" collapsed="false">
      <c r="A37" s="14"/>
      <c r="B37" s="11"/>
      <c r="C37" s="11"/>
      <c r="D37" s="11"/>
      <c r="E37" s="11"/>
      <c r="F37" s="11"/>
    </row>
    <row r="38" customFormat="false" ht="15" hidden="false" customHeight="false" outlineLevel="0" collapsed="false">
      <c r="A38" s="14"/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4"/>
      <c r="B39" s="11"/>
      <c r="C39" s="11"/>
      <c r="D39" s="11"/>
      <c r="E39" s="11"/>
      <c r="F39" s="11"/>
    </row>
    <row r="40" customFormat="false" ht="15" hidden="false" customHeight="false" outlineLevel="0" collapsed="false">
      <c r="A40" s="14"/>
      <c r="B40" s="11"/>
      <c r="C40" s="11"/>
      <c r="D40" s="11"/>
      <c r="E40" s="11"/>
      <c r="F40" s="11"/>
    </row>
    <row r="41" customFormat="false" ht="15" hidden="false" customHeight="false" outlineLevel="0" collapsed="false">
      <c r="A41" s="14"/>
      <c r="B41" s="11"/>
      <c r="C41" s="11"/>
      <c r="D41" s="11"/>
      <c r="E41" s="11"/>
      <c r="F41" s="11"/>
    </row>
    <row r="42" customFormat="false" ht="15" hidden="false" customHeight="false" outlineLevel="0" collapsed="false">
      <c r="A42" s="14"/>
      <c r="B42" s="11"/>
      <c r="C42" s="11"/>
      <c r="D42" s="11"/>
      <c r="E42" s="11"/>
      <c r="F42" s="11"/>
    </row>
    <row r="43" customFormat="false" ht="15" hidden="false" customHeight="false" outlineLevel="0" collapsed="false">
      <c r="A43" s="14"/>
      <c r="B43" s="11"/>
      <c r="C43" s="11"/>
      <c r="D43" s="11"/>
      <c r="E43" s="11"/>
      <c r="F43" s="11"/>
    </row>
    <row r="44" customFormat="false" ht="15" hidden="false" customHeight="false" outlineLevel="0" collapsed="false">
      <c r="A44" s="14"/>
      <c r="B44" s="11"/>
      <c r="C44" s="11"/>
      <c r="D44" s="11"/>
      <c r="E44" s="11"/>
      <c r="F44" s="11"/>
    </row>
    <row r="45" customFormat="false" ht="15" hidden="false" customHeight="false" outlineLevel="0" collapsed="false">
      <c r="A45" s="14"/>
      <c r="B45" s="11"/>
      <c r="C45" s="11"/>
      <c r="D45" s="11"/>
      <c r="E45" s="11"/>
      <c r="F45" s="11"/>
    </row>
    <row r="46" customFormat="false" ht="15" hidden="false" customHeight="false" outlineLevel="0" collapsed="false">
      <c r="A46" s="14"/>
      <c r="B46" s="11"/>
      <c r="C46" s="11"/>
      <c r="D46" s="11"/>
      <c r="E46" s="11"/>
      <c r="F46" s="11"/>
    </row>
    <row r="47" customFormat="false" ht="15" hidden="false" customHeight="false" outlineLevel="0" collapsed="false">
      <c r="A47" s="14"/>
      <c r="B47" s="11"/>
      <c r="C47" s="11"/>
      <c r="D47" s="11"/>
      <c r="E47" s="11"/>
      <c r="F47" s="11"/>
    </row>
    <row r="48" customFormat="false" ht="15" hidden="false" customHeight="false" outlineLevel="0" collapsed="false">
      <c r="A48" s="14"/>
      <c r="B48" s="11"/>
      <c r="C48" s="11"/>
      <c r="D48" s="11"/>
      <c r="E48" s="11"/>
      <c r="F48" s="11"/>
    </row>
    <row r="49" customFormat="false" ht="15" hidden="false" customHeight="false" outlineLevel="0" collapsed="false">
      <c r="A49" s="14"/>
      <c r="B49" s="11"/>
      <c r="C49" s="11"/>
      <c r="D49" s="11"/>
      <c r="E49" s="11"/>
      <c r="F49" s="11"/>
    </row>
    <row r="50" customFormat="false" ht="15" hidden="false" customHeight="false" outlineLevel="0" collapsed="false">
      <c r="A50" s="14"/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4"/>
      <c r="B51" s="11"/>
      <c r="C51" s="11"/>
      <c r="D51" s="11"/>
      <c r="E51" s="11"/>
      <c r="F51" s="11"/>
    </row>
    <row r="52" customFormat="false" ht="15" hidden="false" customHeight="false" outlineLevel="0" collapsed="false">
      <c r="A52" s="14"/>
      <c r="B52" s="11"/>
      <c r="C52" s="11"/>
      <c r="D52" s="11"/>
      <c r="E52" s="11"/>
      <c r="F52" s="11"/>
    </row>
    <row r="53" customFormat="false" ht="15" hidden="false" customHeight="false" outlineLevel="0" collapsed="false">
      <c r="A53" s="14"/>
      <c r="B53" s="11"/>
      <c r="C53" s="11"/>
      <c r="D53" s="11"/>
      <c r="E53" s="11"/>
      <c r="F53" s="11"/>
    </row>
    <row r="54" customFormat="false" ht="15" hidden="false" customHeight="false" outlineLevel="0" collapsed="false">
      <c r="A54" s="14"/>
      <c r="B54" s="11"/>
      <c r="C54" s="11"/>
      <c r="D54" s="11"/>
      <c r="E54" s="11"/>
      <c r="F54" s="11"/>
    </row>
    <row r="55" customFormat="false" ht="15" hidden="false" customHeight="false" outlineLevel="0" collapsed="false">
      <c r="A55" s="14"/>
      <c r="B55" s="11"/>
      <c r="C55" s="11"/>
      <c r="D55" s="11"/>
      <c r="E55" s="11"/>
      <c r="F55" s="11"/>
    </row>
    <row r="56" customFormat="false" ht="15" hidden="false" customHeight="false" outlineLevel="0" collapsed="false">
      <c r="A56" s="14"/>
      <c r="B56" s="11"/>
      <c r="C56" s="11"/>
      <c r="D56" s="11"/>
      <c r="E56" s="11"/>
      <c r="F56" s="11"/>
    </row>
    <row r="57" customFormat="false" ht="15" hidden="false" customHeight="false" outlineLevel="0" collapsed="false">
      <c r="A57" s="14"/>
      <c r="B57" s="11"/>
      <c r="C57" s="11"/>
      <c r="D57" s="11"/>
      <c r="E57" s="11"/>
      <c r="F57" s="11"/>
    </row>
    <row r="58" customFormat="false" ht="15" hidden="false" customHeight="false" outlineLevel="0" collapsed="false">
      <c r="A58" s="14"/>
      <c r="B58" s="11"/>
      <c r="C58" s="11"/>
      <c r="D58" s="11"/>
      <c r="E58" s="11"/>
      <c r="F58" s="11"/>
    </row>
    <row r="59" customFormat="false" ht="15" hidden="false" customHeight="false" outlineLevel="0" collapsed="false">
      <c r="A59" s="14"/>
      <c r="B59" s="11"/>
      <c r="C59" s="11"/>
      <c r="D59" s="11"/>
      <c r="E59" s="11"/>
      <c r="F59" s="11"/>
    </row>
    <row r="60" customFormat="false" ht="15" hidden="false" customHeight="false" outlineLevel="0" collapsed="false">
      <c r="A60" s="14"/>
      <c r="B60" s="11"/>
      <c r="C60" s="11"/>
      <c r="D60" s="11"/>
      <c r="E60" s="11"/>
      <c r="F60" s="11"/>
    </row>
    <row r="61" customFormat="false" ht="15" hidden="false" customHeight="false" outlineLevel="0" collapsed="false">
      <c r="A61" s="14"/>
      <c r="B61" s="11"/>
      <c r="C61" s="11"/>
      <c r="D61" s="11"/>
      <c r="E61" s="11"/>
      <c r="F61" s="11"/>
    </row>
    <row r="62" customFormat="false" ht="15" hidden="false" customHeight="false" outlineLevel="0" collapsed="false">
      <c r="A62" s="14"/>
      <c r="B62" s="11"/>
      <c r="C62" s="11"/>
      <c r="D62" s="11"/>
      <c r="E62" s="11"/>
      <c r="F62" s="11"/>
    </row>
    <row r="63" customFormat="false" ht="15" hidden="false" customHeight="false" outlineLevel="0" collapsed="false">
      <c r="A63" s="14"/>
      <c r="B63" s="11"/>
      <c r="C63" s="11"/>
      <c r="D63" s="11"/>
      <c r="E63" s="11"/>
      <c r="F63" s="11"/>
    </row>
    <row r="64" customFormat="false" ht="15" hidden="false" customHeight="false" outlineLevel="0" collapsed="false">
      <c r="A64" s="14"/>
      <c r="B64" s="11"/>
      <c r="C64" s="11"/>
      <c r="D64" s="11"/>
      <c r="E64" s="11"/>
      <c r="F64" s="11"/>
    </row>
    <row r="65" customFormat="false" ht="15" hidden="false" customHeight="false" outlineLevel="0" collapsed="false">
      <c r="A65" s="14"/>
      <c r="B65" s="11"/>
      <c r="C65" s="11"/>
      <c r="D65" s="11"/>
      <c r="E65" s="11"/>
      <c r="F65" s="11"/>
    </row>
    <row r="66" customFormat="false" ht="15" hidden="false" customHeight="false" outlineLevel="0" collapsed="false">
      <c r="A66" s="14"/>
      <c r="B66" s="11"/>
      <c r="C66" s="11"/>
      <c r="D66" s="11"/>
      <c r="E66" s="11"/>
      <c r="F66" s="11"/>
    </row>
    <row r="67" customFormat="false" ht="15" hidden="false" customHeight="false" outlineLevel="0" collapsed="false">
      <c r="A67" s="14"/>
      <c r="B67" s="11"/>
      <c r="C67" s="11"/>
      <c r="D67" s="11"/>
      <c r="E67" s="11"/>
      <c r="F67" s="11"/>
    </row>
    <row r="68" customFormat="false" ht="15" hidden="false" customHeight="false" outlineLevel="0" collapsed="false">
      <c r="A68" s="14"/>
      <c r="B68" s="11"/>
      <c r="C68" s="11"/>
      <c r="D68" s="11"/>
      <c r="E68" s="11"/>
      <c r="F68" s="11"/>
    </row>
    <row r="69" customFormat="false" ht="15" hidden="false" customHeight="false" outlineLevel="0" collapsed="false">
      <c r="A69" s="14"/>
      <c r="B69" s="11"/>
      <c r="C69" s="11"/>
      <c r="D69" s="11"/>
      <c r="E69" s="11"/>
      <c r="F69" s="11"/>
    </row>
    <row r="70" customFormat="false" ht="15" hidden="false" customHeight="false" outlineLevel="0" collapsed="false">
      <c r="A70" s="14"/>
      <c r="B70" s="11"/>
      <c r="C70" s="11"/>
      <c r="D70" s="11"/>
      <c r="E70" s="11"/>
      <c r="F70" s="11"/>
    </row>
    <row r="71" customFormat="false" ht="15" hidden="false" customHeight="false" outlineLevel="0" collapsed="false">
      <c r="A71" s="14"/>
      <c r="B71" s="11"/>
      <c r="C71" s="11"/>
      <c r="D71" s="11"/>
      <c r="E71" s="11"/>
      <c r="F71" s="11"/>
    </row>
    <row r="72" customFormat="false" ht="15" hidden="false" customHeight="false" outlineLevel="0" collapsed="false">
      <c r="A72" s="14"/>
      <c r="B72" s="11"/>
      <c r="C72" s="11"/>
      <c r="D72" s="11"/>
      <c r="E72" s="11"/>
      <c r="F72" s="11"/>
    </row>
    <row r="73" customFormat="false" ht="15" hidden="false" customHeight="false" outlineLevel="0" collapsed="false">
      <c r="A73" s="14"/>
      <c r="B73" s="11"/>
      <c r="C73" s="11"/>
      <c r="D73" s="11"/>
      <c r="E73" s="11"/>
      <c r="F73" s="11"/>
    </row>
    <row r="74" customFormat="false" ht="15" hidden="false" customHeight="false" outlineLevel="0" collapsed="false">
      <c r="A74" s="14"/>
      <c r="B74" s="11"/>
      <c r="C74" s="11"/>
      <c r="D74" s="11"/>
      <c r="E74" s="11"/>
      <c r="F74" s="11"/>
    </row>
    <row r="75" customFormat="false" ht="15" hidden="false" customHeight="false" outlineLevel="0" collapsed="false">
      <c r="A75" s="14"/>
      <c r="B75" s="11"/>
      <c r="C75" s="11"/>
      <c r="D75" s="11"/>
      <c r="E75" s="11"/>
      <c r="F75" s="11"/>
    </row>
    <row r="76" customFormat="false" ht="15" hidden="false" customHeight="false" outlineLevel="0" collapsed="false">
      <c r="A76" s="14"/>
      <c r="B76" s="11"/>
      <c r="C76" s="11"/>
      <c r="D76" s="11"/>
      <c r="E76" s="11"/>
      <c r="F76" s="11"/>
    </row>
    <row r="77" customFormat="false" ht="15" hidden="false" customHeight="false" outlineLevel="0" collapsed="false">
      <c r="A77" s="14"/>
      <c r="B77" s="11"/>
      <c r="C77" s="11"/>
      <c r="D77" s="11"/>
      <c r="E77" s="11"/>
      <c r="F77" s="11"/>
    </row>
    <row r="78" customFormat="false" ht="15" hidden="false" customHeight="false" outlineLevel="0" collapsed="false">
      <c r="A78" s="14"/>
      <c r="B78" s="11"/>
      <c r="C78" s="11"/>
      <c r="D78" s="11"/>
      <c r="E78" s="11"/>
      <c r="F78" s="11"/>
    </row>
    <row r="79" customFormat="false" ht="15" hidden="false" customHeight="false" outlineLevel="0" collapsed="false">
      <c r="A79" s="14"/>
      <c r="B79" s="11"/>
      <c r="C79" s="11"/>
      <c r="D79" s="11"/>
      <c r="E79" s="11"/>
      <c r="F79" s="11"/>
    </row>
    <row r="80" customFormat="false" ht="15" hidden="false" customHeight="false" outlineLevel="0" collapsed="false">
      <c r="A80" s="14"/>
      <c r="B80" s="11"/>
      <c r="C80" s="11"/>
      <c r="D80" s="11"/>
      <c r="E80" s="11"/>
      <c r="F80" s="11"/>
    </row>
    <row r="81" customFormat="false" ht="15" hidden="false" customHeight="false" outlineLevel="0" collapsed="false">
      <c r="A81" s="14"/>
      <c r="B81" s="11"/>
      <c r="C81" s="11"/>
      <c r="D81" s="11"/>
      <c r="E81" s="11"/>
      <c r="F81" s="11"/>
    </row>
    <row r="82" customFormat="false" ht="15" hidden="false" customHeight="false" outlineLevel="0" collapsed="false">
      <c r="A82" s="14"/>
      <c r="B82" s="11"/>
      <c r="C82" s="11"/>
      <c r="D82" s="11"/>
      <c r="E82" s="11"/>
      <c r="F82" s="11"/>
    </row>
    <row r="83" customFormat="false" ht="15" hidden="false" customHeight="false" outlineLevel="0" collapsed="false">
      <c r="A83" s="14"/>
      <c r="B83" s="11"/>
      <c r="C83" s="11"/>
      <c r="D83" s="11"/>
      <c r="E83" s="11"/>
      <c r="F83" s="11"/>
    </row>
    <row r="84" customFormat="false" ht="15" hidden="false" customHeight="false" outlineLevel="0" collapsed="false">
      <c r="A84" s="14"/>
      <c r="B84" s="11"/>
      <c r="C84" s="11"/>
      <c r="D84" s="11"/>
      <c r="E84" s="11"/>
      <c r="F84" s="11"/>
    </row>
    <row r="85" customFormat="false" ht="15" hidden="false" customHeight="false" outlineLevel="0" collapsed="false">
      <c r="A85" s="14"/>
      <c r="B85" s="11"/>
      <c r="C85" s="11"/>
      <c r="D85" s="11"/>
      <c r="E85" s="11"/>
      <c r="F85" s="11"/>
    </row>
    <row r="86" customFormat="false" ht="15" hidden="false" customHeight="false" outlineLevel="0" collapsed="false">
      <c r="A86" s="14"/>
      <c r="B86" s="11"/>
      <c r="C86" s="11"/>
      <c r="D86" s="11"/>
      <c r="E86" s="11"/>
      <c r="F86" s="11"/>
    </row>
    <row r="87" customFormat="false" ht="15" hidden="false" customHeight="false" outlineLevel="0" collapsed="false">
      <c r="A87" s="14"/>
      <c r="B87" s="11"/>
      <c r="C87" s="11"/>
      <c r="D87" s="11"/>
      <c r="E87" s="11"/>
      <c r="F87" s="11"/>
    </row>
    <row r="88" customFormat="false" ht="15" hidden="false" customHeight="false" outlineLevel="0" collapsed="false">
      <c r="A88" s="14"/>
      <c r="B88" s="11"/>
      <c r="C88" s="11"/>
      <c r="D88" s="11"/>
      <c r="E88" s="11"/>
      <c r="F88" s="11"/>
    </row>
    <row r="89" customFormat="false" ht="15" hidden="false" customHeight="false" outlineLevel="0" collapsed="false">
      <c r="A89" s="14"/>
      <c r="B89" s="11"/>
      <c r="C89" s="11"/>
      <c r="D89" s="11"/>
      <c r="E89" s="11"/>
      <c r="F89" s="11"/>
    </row>
    <row r="90" customFormat="false" ht="15" hidden="false" customHeight="false" outlineLevel="0" collapsed="false">
      <c r="A90" s="14"/>
      <c r="B90" s="11"/>
      <c r="C90" s="11"/>
      <c r="D90" s="11"/>
      <c r="E90" s="11"/>
      <c r="F90" s="11"/>
    </row>
    <row r="91" customFormat="false" ht="15" hidden="false" customHeight="false" outlineLevel="0" collapsed="false">
      <c r="A91" s="14"/>
      <c r="B91" s="11"/>
      <c r="C91" s="11"/>
      <c r="D91" s="11"/>
      <c r="E91" s="11"/>
      <c r="F91" s="11"/>
    </row>
    <row r="92" customFormat="false" ht="15" hidden="false" customHeight="false" outlineLevel="0" collapsed="false">
      <c r="A92" s="14"/>
      <c r="B92" s="11"/>
      <c r="C92" s="11"/>
      <c r="D92" s="11"/>
      <c r="E92" s="11"/>
      <c r="F92" s="11"/>
    </row>
    <row r="93" customFormat="false" ht="15" hidden="false" customHeight="false" outlineLevel="0" collapsed="false">
      <c r="A93" s="14"/>
      <c r="B93" s="11"/>
      <c r="C93" s="11"/>
      <c r="D93" s="11"/>
      <c r="E93" s="11"/>
      <c r="F93" s="11"/>
    </row>
    <row r="94" customFormat="false" ht="15" hidden="false" customHeight="false" outlineLevel="0" collapsed="false">
      <c r="A94" s="14"/>
      <c r="B94" s="11"/>
      <c r="C94" s="11"/>
      <c r="D94" s="11"/>
      <c r="E94" s="11"/>
      <c r="F94" s="11"/>
    </row>
    <row r="95" customFormat="false" ht="15" hidden="false" customHeight="false" outlineLevel="0" collapsed="false">
      <c r="A95" s="14"/>
      <c r="B95" s="11"/>
      <c r="C95" s="11"/>
      <c r="D95" s="11"/>
      <c r="E95" s="11"/>
      <c r="F95" s="11"/>
    </row>
    <row r="96" customFormat="false" ht="15" hidden="false" customHeight="false" outlineLevel="0" collapsed="false">
      <c r="A96" s="14"/>
      <c r="B96" s="11"/>
      <c r="C96" s="11"/>
      <c r="D96" s="11"/>
      <c r="E96" s="11"/>
      <c r="F96" s="11"/>
    </row>
    <row r="97" customFormat="false" ht="15" hidden="false" customHeight="false" outlineLevel="0" collapsed="false">
      <c r="A97" s="14"/>
      <c r="B97" s="11"/>
      <c r="C97" s="11"/>
      <c r="D97" s="11"/>
      <c r="E97" s="11"/>
      <c r="F97" s="11"/>
    </row>
    <row r="98" customFormat="false" ht="15" hidden="false" customHeight="false" outlineLevel="0" collapsed="false">
      <c r="A98" s="14"/>
      <c r="B98" s="11"/>
      <c r="C98" s="11"/>
      <c r="D98" s="11"/>
      <c r="E98" s="11"/>
      <c r="F98" s="11"/>
    </row>
    <row r="99" customFormat="false" ht="15" hidden="false" customHeight="false" outlineLevel="0" collapsed="false">
      <c r="A99" s="14"/>
      <c r="B99" s="11"/>
      <c r="C99" s="11"/>
      <c r="D99" s="11"/>
      <c r="E99" s="11"/>
      <c r="F99" s="11"/>
    </row>
    <row r="100" customFormat="false" ht="15" hidden="false" customHeight="false" outlineLevel="0" collapsed="false">
      <c r="A100" s="14"/>
      <c r="B100" s="11"/>
      <c r="C100" s="11"/>
      <c r="D100" s="11"/>
      <c r="E100" s="11"/>
      <c r="F100" s="11"/>
    </row>
    <row r="101" customFormat="false" ht="15" hidden="false" customHeight="false" outlineLevel="0" collapsed="false">
      <c r="A101" s="14"/>
      <c r="B101" s="11"/>
      <c r="C101" s="11"/>
      <c r="D101" s="11"/>
      <c r="E101" s="11"/>
      <c r="F101" s="11"/>
    </row>
    <row r="102" customFormat="false" ht="15" hidden="false" customHeight="false" outlineLevel="0" collapsed="false">
      <c r="A102" s="14"/>
      <c r="B102" s="11"/>
      <c r="C102" s="11"/>
      <c r="D102" s="11"/>
      <c r="E102" s="11"/>
      <c r="F102" s="11"/>
    </row>
    <row r="103" customFormat="false" ht="15" hidden="false" customHeight="false" outlineLevel="0" collapsed="false">
      <c r="A103" s="14"/>
      <c r="B103" s="11"/>
      <c r="C103" s="11"/>
      <c r="D103" s="11"/>
      <c r="E103" s="11"/>
      <c r="F103" s="11"/>
    </row>
    <row r="104" customFormat="false" ht="15" hidden="false" customHeight="false" outlineLevel="0" collapsed="false">
      <c r="A104" s="14"/>
      <c r="B104" s="11"/>
      <c r="C104" s="11"/>
      <c r="D104" s="11"/>
      <c r="E104" s="11"/>
      <c r="F104" s="11"/>
    </row>
    <row r="105" customFormat="false" ht="15" hidden="false" customHeight="false" outlineLevel="0" collapsed="false">
      <c r="A105" s="14"/>
      <c r="B105" s="11"/>
      <c r="C105" s="11"/>
      <c r="D105" s="11"/>
      <c r="E105" s="11"/>
      <c r="F105" s="11"/>
    </row>
    <row r="106" customFormat="false" ht="15" hidden="false" customHeight="false" outlineLevel="0" collapsed="false">
      <c r="A106" s="14"/>
      <c r="B106" s="11"/>
      <c r="C106" s="11"/>
      <c r="D106" s="11"/>
      <c r="E106" s="11"/>
      <c r="F106" s="11"/>
    </row>
    <row r="107" customFormat="false" ht="15" hidden="false" customHeight="false" outlineLevel="0" collapsed="false">
      <c r="A107" s="14"/>
      <c r="B107" s="11"/>
      <c r="C107" s="11"/>
      <c r="D107" s="11"/>
      <c r="E107" s="11"/>
      <c r="F107" s="11"/>
    </row>
    <row r="108" customFormat="false" ht="15" hidden="false" customHeight="false" outlineLevel="0" collapsed="false">
      <c r="A108" s="14"/>
      <c r="B108" s="11"/>
      <c r="C108" s="11"/>
      <c r="D108" s="11"/>
      <c r="E108" s="11"/>
      <c r="F108" s="11"/>
    </row>
    <row r="109" customFormat="false" ht="15" hidden="false" customHeight="false" outlineLevel="0" collapsed="false">
      <c r="A109" s="14"/>
      <c r="B109" s="11"/>
      <c r="C109" s="11"/>
      <c r="D109" s="11"/>
      <c r="E109" s="11"/>
      <c r="F109" s="11"/>
    </row>
    <row r="110" customFormat="false" ht="15" hidden="false" customHeight="false" outlineLevel="0" collapsed="false">
      <c r="A110" s="14"/>
      <c r="B110" s="11"/>
      <c r="C110" s="11"/>
      <c r="D110" s="11"/>
      <c r="E110" s="11"/>
      <c r="F110" s="11"/>
    </row>
    <row r="111" customFormat="false" ht="15" hidden="false" customHeight="false" outlineLevel="0" collapsed="false">
      <c r="A111" s="14"/>
      <c r="B111" s="11"/>
      <c r="C111" s="11"/>
      <c r="D111" s="11"/>
      <c r="E111" s="11"/>
      <c r="F111" s="11"/>
    </row>
    <row r="112" customFormat="false" ht="15" hidden="false" customHeight="false" outlineLevel="0" collapsed="false">
      <c r="A112" s="14"/>
      <c r="B112" s="11"/>
      <c r="C112" s="11"/>
      <c r="D112" s="11"/>
      <c r="E112" s="11"/>
      <c r="F112" s="11"/>
    </row>
    <row r="113" customFormat="false" ht="15" hidden="false" customHeight="false" outlineLevel="0" collapsed="false">
      <c r="A113" s="14"/>
      <c r="B113" s="11"/>
      <c r="C113" s="11"/>
      <c r="D113" s="11"/>
      <c r="E113" s="11"/>
      <c r="F113" s="11"/>
    </row>
    <row r="114" customFormat="false" ht="15" hidden="false" customHeight="false" outlineLevel="0" collapsed="false">
      <c r="A114" s="14"/>
      <c r="B114" s="11"/>
      <c r="C114" s="11"/>
      <c r="D114" s="11"/>
      <c r="E114" s="11"/>
      <c r="F114" s="11"/>
    </row>
    <row r="115" customFormat="false" ht="15" hidden="false" customHeight="false" outlineLevel="0" collapsed="false">
      <c r="A115" s="14"/>
      <c r="B115" s="11"/>
      <c r="C115" s="11"/>
      <c r="D115" s="11"/>
      <c r="E115" s="11"/>
      <c r="F115" s="11"/>
    </row>
    <row r="116" customFormat="false" ht="15" hidden="false" customHeight="false" outlineLevel="0" collapsed="false">
      <c r="A116" s="14"/>
      <c r="B116" s="11"/>
      <c r="C116" s="11"/>
      <c r="D116" s="11"/>
      <c r="E116" s="11"/>
      <c r="F116" s="11"/>
    </row>
    <row r="117" customFormat="false" ht="15" hidden="false" customHeight="false" outlineLevel="0" collapsed="false">
      <c r="A117" s="14"/>
      <c r="B117" s="11"/>
      <c r="C117" s="11"/>
      <c r="D117" s="11"/>
      <c r="E117" s="11"/>
      <c r="F117" s="11"/>
    </row>
    <row r="118" customFormat="false" ht="15" hidden="false" customHeight="false" outlineLevel="0" collapsed="false">
      <c r="A118" s="14"/>
      <c r="B118" s="11"/>
      <c r="C118" s="11"/>
      <c r="D118" s="11"/>
      <c r="E118" s="11"/>
      <c r="F118" s="11"/>
    </row>
    <row r="119" customFormat="false" ht="15" hidden="false" customHeight="false" outlineLevel="0" collapsed="false">
      <c r="A119" s="14"/>
      <c r="B119" s="11"/>
      <c r="C119" s="11"/>
      <c r="D119" s="11"/>
      <c r="E119" s="11"/>
      <c r="F119" s="11"/>
    </row>
    <row r="120" customFormat="false" ht="15" hidden="false" customHeight="false" outlineLevel="0" collapsed="false">
      <c r="A120" s="14"/>
      <c r="B120" s="11"/>
      <c r="C120" s="11"/>
      <c r="D120" s="11"/>
      <c r="E120" s="11"/>
      <c r="F120" s="11"/>
    </row>
    <row r="121" customFormat="false" ht="15" hidden="false" customHeight="false" outlineLevel="0" collapsed="false">
      <c r="A121" s="14"/>
      <c r="B121" s="11"/>
      <c r="C121" s="11"/>
      <c r="D121" s="11"/>
      <c r="E121" s="11"/>
      <c r="F121" s="11"/>
    </row>
    <row r="122" customFormat="false" ht="15" hidden="false" customHeight="false" outlineLevel="0" collapsed="false">
      <c r="A122" s="14"/>
      <c r="B122" s="11"/>
      <c r="C122" s="11"/>
      <c r="D122" s="11"/>
      <c r="E122" s="11"/>
      <c r="F122" s="11"/>
    </row>
    <row r="123" customFormat="false" ht="15" hidden="false" customHeight="false" outlineLevel="0" collapsed="false">
      <c r="A123" s="14"/>
      <c r="B123" s="11"/>
      <c r="C123" s="11"/>
      <c r="D123" s="11"/>
      <c r="E123" s="11"/>
      <c r="F123" s="11"/>
    </row>
    <row r="124" customFormat="false" ht="15" hidden="false" customHeight="false" outlineLevel="0" collapsed="false">
      <c r="A124" s="14"/>
      <c r="B124" s="11"/>
      <c r="C124" s="11"/>
      <c r="D124" s="11"/>
      <c r="E124" s="11"/>
      <c r="F124" s="11"/>
    </row>
    <row r="125" customFormat="false" ht="15" hidden="false" customHeight="false" outlineLevel="0" collapsed="false">
      <c r="A125" s="14"/>
      <c r="B125" s="11"/>
      <c r="C125" s="11"/>
      <c r="D125" s="11"/>
      <c r="E125" s="11"/>
      <c r="F125" s="11"/>
    </row>
    <row r="126" customFormat="false" ht="15" hidden="false" customHeight="false" outlineLevel="0" collapsed="false">
      <c r="A126" s="14"/>
      <c r="B126" s="11"/>
      <c r="C126" s="11"/>
      <c r="D126" s="11"/>
      <c r="E126" s="11"/>
      <c r="F126" s="11"/>
    </row>
    <row r="127" customFormat="false" ht="15" hidden="false" customHeight="false" outlineLevel="0" collapsed="false">
      <c r="A127" s="14"/>
      <c r="B127" s="11"/>
      <c r="C127" s="11"/>
      <c r="D127" s="11"/>
      <c r="E127" s="11"/>
      <c r="F127" s="11"/>
    </row>
    <row r="128" customFormat="false" ht="15" hidden="false" customHeight="false" outlineLevel="0" collapsed="false">
      <c r="A128" s="14"/>
      <c r="B128" s="11"/>
      <c r="C128" s="11"/>
      <c r="D128" s="11"/>
      <c r="E128" s="11"/>
      <c r="F128" s="11"/>
    </row>
    <row r="129" customFormat="false" ht="15" hidden="false" customHeight="false" outlineLevel="0" collapsed="false">
      <c r="A129" s="14"/>
      <c r="B129" s="11"/>
      <c r="C129" s="11"/>
      <c r="D129" s="11"/>
      <c r="E129" s="11"/>
      <c r="F129" s="11"/>
    </row>
    <row r="130" customFormat="false" ht="15" hidden="false" customHeight="false" outlineLevel="0" collapsed="false">
      <c r="A130" s="14"/>
      <c r="B130" s="11"/>
      <c r="C130" s="11"/>
      <c r="D130" s="11"/>
      <c r="E130" s="11"/>
      <c r="F130" s="11"/>
    </row>
    <row r="131" customFormat="false" ht="15" hidden="false" customHeight="false" outlineLevel="0" collapsed="false">
      <c r="A131" s="14"/>
      <c r="B131" s="11"/>
      <c r="C131" s="11"/>
      <c r="D131" s="11"/>
      <c r="E131" s="11"/>
      <c r="F131" s="11"/>
    </row>
    <row r="132" customFormat="false" ht="15" hidden="false" customHeight="false" outlineLevel="0" collapsed="false">
      <c r="A132" s="14"/>
      <c r="B132" s="11"/>
      <c r="C132" s="11"/>
      <c r="D132" s="11"/>
      <c r="E132" s="11"/>
      <c r="F132" s="11"/>
    </row>
    <row r="133" customFormat="false" ht="15" hidden="false" customHeight="false" outlineLevel="0" collapsed="false">
      <c r="A133" s="14"/>
      <c r="B133" s="11"/>
      <c r="C133" s="11"/>
      <c r="D133" s="11"/>
      <c r="E133" s="11"/>
      <c r="F133" s="11"/>
    </row>
    <row r="134" customFormat="false" ht="15" hidden="false" customHeight="false" outlineLevel="0" collapsed="false">
      <c r="A134" s="14"/>
      <c r="B134" s="11"/>
      <c r="C134" s="11"/>
      <c r="D134" s="11"/>
      <c r="E134" s="11"/>
      <c r="F134" s="11"/>
    </row>
    <row r="135" customFormat="false" ht="15" hidden="false" customHeight="false" outlineLevel="0" collapsed="false">
      <c r="A135" s="14"/>
      <c r="B135" s="11"/>
      <c r="C135" s="11"/>
      <c r="D135" s="11"/>
      <c r="E135" s="11"/>
      <c r="F135" s="11"/>
    </row>
    <row r="136" customFormat="false" ht="15" hidden="false" customHeight="false" outlineLevel="0" collapsed="false">
      <c r="A136" s="14"/>
      <c r="B136" s="11"/>
      <c r="C136" s="11"/>
      <c r="D136" s="11"/>
      <c r="E136" s="11"/>
      <c r="F136" s="11"/>
    </row>
    <row r="137" customFormat="false" ht="15" hidden="false" customHeight="false" outlineLevel="0" collapsed="false">
      <c r="A137" s="14"/>
      <c r="B137" s="11"/>
      <c r="C137" s="11"/>
      <c r="D137" s="11"/>
      <c r="E137" s="11"/>
      <c r="F137" s="11"/>
    </row>
    <row r="138" customFormat="false" ht="15" hidden="false" customHeight="false" outlineLevel="0" collapsed="false">
      <c r="A138" s="14"/>
      <c r="B138" s="11"/>
      <c r="C138" s="11"/>
      <c r="D138" s="11"/>
      <c r="E138" s="11"/>
      <c r="F138" s="11"/>
    </row>
    <row r="139" customFormat="false" ht="15" hidden="false" customHeight="false" outlineLevel="0" collapsed="false">
      <c r="A139" s="14"/>
      <c r="B139" s="11"/>
      <c r="C139" s="11"/>
      <c r="D139" s="11"/>
      <c r="E139" s="11"/>
      <c r="F139" s="11"/>
    </row>
    <row r="140" customFormat="false" ht="15" hidden="false" customHeight="false" outlineLevel="0" collapsed="false">
      <c r="A140" s="14"/>
      <c r="B140" s="11"/>
      <c r="C140" s="11"/>
      <c r="D140" s="11"/>
      <c r="E140" s="11"/>
      <c r="F140" s="11"/>
    </row>
    <row r="141" customFormat="false" ht="15" hidden="false" customHeight="false" outlineLevel="0" collapsed="false">
      <c r="A141" s="14"/>
      <c r="B141" s="11"/>
      <c r="C141" s="11"/>
      <c r="D141" s="11"/>
      <c r="E141" s="11"/>
      <c r="F141" s="11"/>
    </row>
    <row r="142" customFormat="false" ht="15" hidden="false" customHeight="false" outlineLevel="0" collapsed="false">
      <c r="A142" s="14"/>
      <c r="B142" s="11"/>
      <c r="C142" s="11"/>
      <c r="D142" s="11"/>
      <c r="E142" s="11"/>
      <c r="F142" s="11"/>
    </row>
    <row r="143" customFormat="false" ht="15" hidden="false" customHeight="false" outlineLevel="0" collapsed="false">
      <c r="A143" s="14"/>
      <c r="B143" s="11"/>
      <c r="C143" s="11"/>
      <c r="D143" s="11"/>
      <c r="E143" s="11"/>
      <c r="F143" s="11"/>
    </row>
    <row r="144" customFormat="false" ht="15" hidden="false" customHeight="false" outlineLevel="0" collapsed="false">
      <c r="A144" s="14"/>
      <c r="B144" s="11"/>
      <c r="C144" s="11"/>
      <c r="D144" s="11"/>
      <c r="E144" s="11"/>
      <c r="F144" s="11"/>
    </row>
    <row r="145" customFormat="false" ht="15" hidden="false" customHeight="false" outlineLevel="0" collapsed="false">
      <c r="A145" s="14"/>
      <c r="B145" s="11"/>
      <c r="C145" s="11"/>
      <c r="D145" s="11"/>
      <c r="E145" s="11"/>
      <c r="F145" s="11"/>
    </row>
    <row r="146" customFormat="false" ht="15" hidden="false" customHeight="false" outlineLevel="0" collapsed="false">
      <c r="A146" s="14"/>
      <c r="B146" s="11"/>
      <c r="C146" s="11"/>
      <c r="D146" s="11"/>
      <c r="E146" s="11"/>
      <c r="F146" s="11"/>
    </row>
    <row r="147" customFormat="false" ht="15" hidden="false" customHeight="false" outlineLevel="0" collapsed="false">
      <c r="A147" s="14"/>
      <c r="B147" s="11"/>
      <c r="C147" s="11"/>
      <c r="D147" s="11"/>
      <c r="E147" s="11"/>
      <c r="F147" s="11"/>
    </row>
    <row r="148" customFormat="false" ht="15" hidden="false" customHeight="false" outlineLevel="0" collapsed="false">
      <c r="A148" s="14"/>
      <c r="B148" s="11"/>
      <c r="C148" s="11"/>
      <c r="D148" s="11"/>
      <c r="E148" s="11"/>
      <c r="F148" s="11"/>
    </row>
    <row r="149" customFormat="false" ht="15" hidden="false" customHeight="false" outlineLevel="0" collapsed="false">
      <c r="A149" s="14"/>
      <c r="B149" s="11"/>
      <c r="C149" s="11"/>
      <c r="D149" s="11"/>
      <c r="E149" s="11"/>
      <c r="F149" s="11"/>
    </row>
    <row r="150" customFormat="false" ht="15" hidden="false" customHeight="false" outlineLevel="0" collapsed="false">
      <c r="A150" s="14"/>
      <c r="B150" s="11"/>
      <c r="C150" s="11"/>
      <c r="D150" s="11"/>
      <c r="E150" s="11"/>
      <c r="F150" s="11"/>
    </row>
    <row r="151" customFormat="false" ht="15" hidden="false" customHeight="false" outlineLevel="0" collapsed="false">
      <c r="A151" s="14"/>
      <c r="B151" s="11"/>
      <c r="C151" s="11"/>
      <c r="D151" s="11"/>
      <c r="E151" s="11"/>
      <c r="F151" s="11"/>
    </row>
    <row r="152" customFormat="false" ht="15" hidden="false" customHeight="false" outlineLevel="0" collapsed="false">
      <c r="A152" s="14"/>
      <c r="B152" s="11"/>
      <c r="C152" s="11"/>
      <c r="D152" s="11"/>
      <c r="E152" s="11"/>
      <c r="F152" s="11"/>
    </row>
    <row r="153" customFormat="false" ht="15" hidden="false" customHeight="false" outlineLevel="0" collapsed="false">
      <c r="A153" s="14"/>
      <c r="B153" s="11"/>
      <c r="C153" s="11"/>
      <c r="D153" s="11"/>
      <c r="E153" s="11"/>
      <c r="F153" s="11"/>
    </row>
    <row r="154" customFormat="false" ht="15" hidden="false" customHeight="false" outlineLevel="0" collapsed="false">
      <c r="A154" s="14"/>
      <c r="B154" s="11"/>
      <c r="C154" s="11"/>
      <c r="D154" s="11"/>
      <c r="E154" s="11"/>
      <c r="F154" s="11"/>
    </row>
    <row r="155" customFormat="false" ht="15" hidden="false" customHeight="false" outlineLevel="0" collapsed="false">
      <c r="A155" s="14"/>
      <c r="B155" s="11"/>
      <c r="C155" s="11"/>
      <c r="D155" s="11"/>
      <c r="E155" s="11"/>
      <c r="F155" s="11"/>
    </row>
    <row r="156" customFormat="false" ht="15" hidden="false" customHeight="false" outlineLevel="0" collapsed="false">
      <c r="A156" s="14"/>
      <c r="B156" s="11"/>
      <c r="C156" s="11"/>
      <c r="D156" s="11"/>
      <c r="E156" s="11"/>
      <c r="F156" s="11"/>
    </row>
    <row r="157" customFormat="false" ht="15" hidden="false" customHeight="false" outlineLevel="0" collapsed="false">
      <c r="A157" s="14"/>
      <c r="B157" s="11"/>
      <c r="C157" s="11"/>
      <c r="D157" s="11"/>
      <c r="E157" s="11"/>
      <c r="F157" s="11"/>
    </row>
    <row r="158" customFormat="false" ht="15" hidden="false" customHeight="false" outlineLevel="0" collapsed="false">
      <c r="A158" s="14"/>
      <c r="B158" s="11"/>
      <c r="C158" s="11"/>
      <c r="D158" s="11"/>
      <c r="E158" s="11"/>
      <c r="F158" s="11"/>
    </row>
    <row r="159" customFormat="false" ht="15" hidden="false" customHeight="false" outlineLevel="0" collapsed="false">
      <c r="A159" s="14"/>
      <c r="B159" s="11"/>
      <c r="C159" s="11"/>
      <c r="D159" s="11"/>
      <c r="E159" s="11"/>
      <c r="F159" s="11"/>
    </row>
    <row r="160" customFormat="false" ht="15" hidden="false" customHeight="false" outlineLevel="0" collapsed="false">
      <c r="A160" s="14"/>
      <c r="B160" s="11"/>
      <c r="C160" s="11"/>
      <c r="D160" s="11"/>
      <c r="E160" s="11"/>
      <c r="F160" s="11"/>
    </row>
    <row r="161" customFormat="false" ht="15" hidden="false" customHeight="false" outlineLevel="0" collapsed="false">
      <c r="A161" s="14"/>
      <c r="B161" s="11"/>
      <c r="C161" s="11"/>
      <c r="D161" s="11"/>
      <c r="E161" s="11"/>
      <c r="F161" s="11"/>
    </row>
    <row r="162" customFormat="false" ht="15" hidden="false" customHeight="false" outlineLevel="0" collapsed="false">
      <c r="A162" s="14"/>
      <c r="B162" s="11"/>
      <c r="C162" s="11"/>
      <c r="D162" s="11"/>
      <c r="E162" s="11"/>
      <c r="F162" s="11"/>
    </row>
    <row r="163" customFormat="false" ht="15" hidden="false" customHeight="false" outlineLevel="0" collapsed="false">
      <c r="A163" s="14"/>
      <c r="B163" s="11"/>
      <c r="C163" s="11"/>
      <c r="D163" s="11"/>
      <c r="E163" s="11"/>
      <c r="F163" s="11"/>
    </row>
    <row r="164" customFormat="false" ht="15" hidden="false" customHeight="false" outlineLevel="0" collapsed="false">
      <c r="A164" s="14"/>
      <c r="B164" s="11"/>
      <c r="C164" s="11"/>
      <c r="D164" s="11"/>
      <c r="E164" s="11"/>
      <c r="F164" s="11"/>
    </row>
    <row r="165" customFormat="false" ht="15" hidden="false" customHeight="false" outlineLevel="0" collapsed="false">
      <c r="A165" s="14"/>
      <c r="B165" s="11"/>
      <c r="C165" s="11"/>
      <c r="D165" s="11"/>
      <c r="E165" s="11"/>
      <c r="F165" s="11"/>
    </row>
    <row r="166" customFormat="false" ht="15" hidden="false" customHeight="false" outlineLevel="0" collapsed="false">
      <c r="A166" s="14"/>
      <c r="B166" s="11"/>
      <c r="C166" s="11"/>
      <c r="D166" s="11"/>
      <c r="E166" s="11"/>
      <c r="F166" s="11"/>
    </row>
    <row r="167" customFormat="false" ht="15" hidden="false" customHeight="false" outlineLevel="0" collapsed="false">
      <c r="A167" s="14"/>
      <c r="B167" s="11"/>
      <c r="C167" s="11"/>
      <c r="D167" s="11"/>
      <c r="E167" s="11"/>
      <c r="F167" s="11"/>
    </row>
    <row r="168" customFormat="false" ht="15" hidden="false" customHeight="false" outlineLevel="0" collapsed="false">
      <c r="A168" s="14"/>
      <c r="B168" s="11"/>
      <c r="C168" s="11"/>
      <c r="D168" s="11"/>
      <c r="E168" s="11"/>
      <c r="F168" s="11"/>
    </row>
    <row r="169" customFormat="false" ht="15" hidden="false" customHeight="false" outlineLevel="0" collapsed="false">
      <c r="A169" s="14"/>
      <c r="B169" s="11"/>
      <c r="C169" s="11"/>
      <c r="D169" s="11"/>
      <c r="E169" s="11"/>
      <c r="F169" s="11"/>
    </row>
    <row r="170" customFormat="false" ht="15" hidden="false" customHeight="false" outlineLevel="0" collapsed="false">
      <c r="A170" s="14"/>
      <c r="B170" s="11"/>
      <c r="C170" s="11"/>
      <c r="D170" s="11"/>
      <c r="E170" s="11"/>
      <c r="F170" s="11"/>
    </row>
    <row r="171" customFormat="false" ht="15" hidden="false" customHeight="false" outlineLevel="0" collapsed="false">
      <c r="A171" s="14"/>
      <c r="B171" s="11"/>
      <c r="C171" s="11"/>
      <c r="D171" s="11"/>
      <c r="E171" s="11"/>
      <c r="F171" s="11"/>
    </row>
    <row r="172" customFormat="false" ht="15" hidden="false" customHeight="false" outlineLevel="0" collapsed="false">
      <c r="A172" s="14"/>
      <c r="B172" s="11"/>
      <c r="C172" s="11"/>
      <c r="D172" s="11"/>
      <c r="E172" s="11"/>
      <c r="F172" s="11"/>
    </row>
    <row r="173" customFormat="false" ht="15" hidden="false" customHeight="false" outlineLevel="0" collapsed="false">
      <c r="A173" s="14"/>
      <c r="B173" s="11"/>
      <c r="C173" s="11"/>
      <c r="D173" s="11"/>
      <c r="E173" s="11"/>
      <c r="F173" s="11"/>
    </row>
    <row r="174" customFormat="false" ht="15" hidden="false" customHeight="false" outlineLevel="0" collapsed="false">
      <c r="A174" s="14"/>
      <c r="B174" s="11"/>
      <c r="C174" s="11"/>
      <c r="D174" s="11"/>
      <c r="E174" s="11"/>
      <c r="F174" s="11"/>
    </row>
    <row r="175" customFormat="false" ht="15" hidden="false" customHeight="false" outlineLevel="0" collapsed="false">
      <c r="A175" s="14"/>
      <c r="B175" s="11"/>
      <c r="C175" s="11"/>
      <c r="D175" s="11"/>
      <c r="E175" s="11"/>
      <c r="F175" s="11"/>
    </row>
    <row r="176" customFormat="false" ht="15" hidden="false" customHeight="false" outlineLevel="0" collapsed="false">
      <c r="A176" s="14"/>
      <c r="B176" s="11"/>
      <c r="C176" s="11"/>
      <c r="D176" s="11"/>
      <c r="E176" s="11"/>
      <c r="F176" s="11"/>
    </row>
    <row r="177" customFormat="false" ht="15" hidden="false" customHeight="false" outlineLevel="0" collapsed="false">
      <c r="A177" s="14"/>
      <c r="B177" s="11"/>
      <c r="C177" s="11"/>
      <c r="D177" s="11"/>
      <c r="E177" s="11"/>
      <c r="F177" s="11"/>
    </row>
    <row r="178" customFormat="false" ht="15" hidden="false" customHeight="false" outlineLevel="0" collapsed="false">
      <c r="A178" s="14"/>
      <c r="B178" s="11"/>
      <c r="C178" s="11"/>
      <c r="D178" s="11"/>
      <c r="E178" s="11"/>
      <c r="F178" s="11"/>
    </row>
    <row r="179" customFormat="false" ht="15" hidden="false" customHeight="false" outlineLevel="0" collapsed="false">
      <c r="A179" s="14"/>
      <c r="B179" s="11"/>
      <c r="C179" s="11"/>
      <c r="D179" s="11"/>
      <c r="E179" s="11"/>
      <c r="F179" s="11"/>
    </row>
    <row r="180" customFormat="false" ht="15" hidden="false" customHeight="false" outlineLevel="0" collapsed="false">
      <c r="A180" s="14"/>
      <c r="B180" s="11"/>
      <c r="C180" s="11"/>
      <c r="D180" s="11"/>
      <c r="E180" s="11"/>
      <c r="F180" s="11"/>
    </row>
    <row r="181" customFormat="false" ht="15" hidden="false" customHeight="false" outlineLevel="0" collapsed="false">
      <c r="A181" s="14"/>
      <c r="B181" s="11"/>
      <c r="C181" s="11"/>
      <c r="D181" s="11"/>
      <c r="E181" s="11"/>
      <c r="F181" s="11"/>
    </row>
    <row r="182" customFormat="false" ht="15" hidden="false" customHeight="false" outlineLevel="0" collapsed="false">
      <c r="A182" s="14"/>
      <c r="B182" s="11"/>
      <c r="C182" s="11"/>
      <c r="D182" s="11"/>
      <c r="E182" s="11"/>
      <c r="F182" s="11"/>
    </row>
    <row r="183" customFormat="false" ht="15" hidden="false" customHeight="false" outlineLevel="0" collapsed="false">
      <c r="A183" s="14"/>
      <c r="B183" s="11"/>
      <c r="C183" s="11"/>
      <c r="D183" s="11"/>
      <c r="E183" s="11"/>
      <c r="F183" s="11"/>
    </row>
    <row r="184" customFormat="false" ht="15" hidden="false" customHeight="false" outlineLevel="0" collapsed="false">
      <c r="A184" s="14"/>
      <c r="B184" s="11"/>
      <c r="C184" s="11"/>
      <c r="D184" s="11"/>
      <c r="E184" s="11"/>
      <c r="F184" s="11"/>
    </row>
    <row r="185" customFormat="false" ht="15" hidden="false" customHeight="false" outlineLevel="0" collapsed="false">
      <c r="A185" s="14"/>
      <c r="B185" s="11"/>
      <c r="C185" s="11"/>
      <c r="D185" s="11"/>
      <c r="E185" s="11"/>
      <c r="F185" s="11"/>
    </row>
    <row r="186" customFormat="false" ht="15" hidden="false" customHeight="false" outlineLevel="0" collapsed="false">
      <c r="A186" s="14"/>
      <c r="B186" s="11"/>
      <c r="C186" s="11"/>
      <c r="D186" s="11"/>
      <c r="E186" s="11"/>
      <c r="F186" s="11"/>
    </row>
    <row r="187" customFormat="false" ht="15" hidden="false" customHeight="false" outlineLevel="0" collapsed="false">
      <c r="A187" s="14"/>
      <c r="B187" s="11"/>
      <c r="C187" s="11"/>
      <c r="D187" s="11"/>
      <c r="E187" s="11"/>
      <c r="F187" s="11"/>
    </row>
    <row r="188" customFormat="false" ht="15" hidden="false" customHeight="false" outlineLevel="0" collapsed="false">
      <c r="A188" s="14"/>
      <c r="B188" s="11"/>
      <c r="C188" s="11"/>
      <c r="D188" s="11"/>
      <c r="E188" s="11"/>
      <c r="F188" s="11"/>
    </row>
    <row r="189" customFormat="false" ht="15" hidden="false" customHeight="false" outlineLevel="0" collapsed="false">
      <c r="A189" s="14"/>
      <c r="B189" s="11"/>
      <c r="C189" s="11"/>
      <c r="D189" s="11"/>
      <c r="E189" s="11"/>
      <c r="F189" s="11"/>
    </row>
    <row r="190" customFormat="false" ht="15" hidden="false" customHeight="false" outlineLevel="0" collapsed="false">
      <c r="A190" s="14"/>
      <c r="B190" s="11"/>
      <c r="C190" s="11"/>
      <c r="D190" s="11"/>
      <c r="E190" s="11"/>
      <c r="F190" s="11"/>
    </row>
    <row r="191" customFormat="false" ht="15" hidden="false" customHeight="false" outlineLevel="0" collapsed="false">
      <c r="A191" s="14"/>
      <c r="B191" s="11"/>
      <c r="C191" s="11"/>
      <c r="D191" s="11"/>
      <c r="E191" s="11"/>
      <c r="F191" s="11"/>
    </row>
    <row r="192" customFormat="false" ht="15" hidden="false" customHeight="false" outlineLevel="0" collapsed="false">
      <c r="A192" s="14"/>
      <c r="B192" s="11"/>
      <c r="C192" s="11"/>
      <c r="D192" s="11"/>
      <c r="E192" s="11"/>
      <c r="F192" s="11"/>
    </row>
    <row r="193" customFormat="false" ht="15" hidden="false" customHeight="false" outlineLevel="0" collapsed="false">
      <c r="A193" s="14"/>
      <c r="B193" s="11"/>
      <c r="C193" s="11"/>
      <c r="D193" s="11"/>
      <c r="E193" s="11"/>
      <c r="F193" s="11"/>
    </row>
    <row r="194" customFormat="false" ht="15" hidden="false" customHeight="false" outlineLevel="0" collapsed="false">
      <c r="A194" s="14"/>
      <c r="B194" s="11"/>
      <c r="C194" s="11"/>
      <c r="D194" s="11"/>
      <c r="E194" s="11"/>
      <c r="F194" s="11"/>
    </row>
    <row r="195" customFormat="false" ht="15" hidden="false" customHeight="false" outlineLevel="0" collapsed="false">
      <c r="A195" s="14"/>
      <c r="B195" s="11"/>
      <c r="C195" s="11"/>
      <c r="D195" s="11"/>
      <c r="E195" s="11"/>
      <c r="F195" s="11"/>
    </row>
    <row r="196" customFormat="false" ht="15" hidden="false" customHeight="false" outlineLevel="0" collapsed="false">
      <c r="A196" s="14"/>
      <c r="B196" s="11"/>
      <c r="C196" s="11"/>
      <c r="D196" s="11"/>
      <c r="E196" s="11"/>
      <c r="F196" s="11"/>
    </row>
    <row r="197" customFormat="false" ht="15" hidden="false" customHeight="false" outlineLevel="0" collapsed="false">
      <c r="A197" s="14"/>
      <c r="B197" s="11"/>
      <c r="C197" s="11"/>
      <c r="D197" s="11"/>
      <c r="E197" s="11"/>
      <c r="F197" s="11"/>
    </row>
    <row r="198" customFormat="false" ht="15" hidden="false" customHeight="false" outlineLevel="0" collapsed="false">
      <c r="A198" s="14"/>
      <c r="B198" s="11"/>
      <c r="C198" s="11"/>
      <c r="D198" s="11"/>
      <c r="E198" s="11"/>
      <c r="F198" s="11"/>
    </row>
    <row r="199" customFormat="false" ht="15" hidden="false" customHeight="false" outlineLevel="0" collapsed="false">
      <c r="A199" s="14"/>
      <c r="B199" s="11"/>
      <c r="C199" s="11"/>
      <c r="D199" s="11"/>
      <c r="E199" s="11"/>
      <c r="F199" s="11"/>
    </row>
    <row r="200" customFormat="false" ht="15" hidden="false" customHeight="false" outlineLevel="0" collapsed="false">
      <c r="A200" s="14"/>
      <c r="B200" s="11"/>
      <c r="C200" s="11"/>
      <c r="D200" s="11"/>
      <c r="E200" s="11"/>
      <c r="F200" s="11"/>
    </row>
    <row r="201" customFormat="false" ht="15" hidden="false" customHeight="false" outlineLevel="0" collapsed="false">
      <c r="A201" s="14"/>
      <c r="B201" s="11"/>
      <c r="C201" s="11"/>
      <c r="D201" s="11"/>
      <c r="E201" s="11"/>
      <c r="F201" s="11"/>
    </row>
  </sheetData>
  <dataValidations count="1">
    <dataValidation allowBlank="true" error="Not in the Register. Add the tool there first." errorStyle="information" operator="between" showDropDown="false" showErrorMessage="false" showInputMessage="false" sqref="B2:B201" type="list">
      <formula1>Register!$A$2:$A$101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13" t="s">
        <v>96</v>
      </c>
      <c r="B1" s="13" t="s">
        <v>97</v>
      </c>
      <c r="C1" s="13" t="s">
        <v>106</v>
      </c>
      <c r="D1" s="13" t="s">
        <v>51</v>
      </c>
      <c r="E1" s="13" t="s">
        <v>107</v>
      </c>
      <c r="F1" s="13" t="s">
        <v>108</v>
      </c>
      <c r="G1" s="13" t="s">
        <v>109</v>
      </c>
    </row>
    <row r="2" customFormat="false" ht="15" hidden="false" customHeight="false" outlineLevel="0" collapsed="false">
      <c r="A2" s="14"/>
      <c r="B2" s="11"/>
      <c r="C2" s="11"/>
      <c r="D2" s="11"/>
      <c r="E2" s="11"/>
      <c r="F2" s="11"/>
      <c r="G2" s="11"/>
    </row>
    <row r="3" customFormat="false" ht="15" hidden="false" customHeight="false" outlineLevel="0" collapsed="false">
      <c r="A3" s="14"/>
      <c r="B3" s="11"/>
      <c r="C3" s="11"/>
      <c r="D3" s="11"/>
      <c r="E3" s="11"/>
      <c r="F3" s="11"/>
      <c r="G3" s="11"/>
    </row>
    <row r="4" customFormat="false" ht="15" hidden="false" customHeight="false" outlineLevel="0" collapsed="false">
      <c r="A4" s="14"/>
      <c r="B4" s="11"/>
      <c r="C4" s="11"/>
      <c r="D4" s="11"/>
      <c r="E4" s="11"/>
      <c r="F4" s="11"/>
      <c r="G4" s="11"/>
    </row>
    <row r="5" customFormat="false" ht="15" hidden="false" customHeight="false" outlineLevel="0" collapsed="false">
      <c r="A5" s="14"/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14"/>
      <c r="B6" s="11"/>
      <c r="C6" s="11"/>
      <c r="D6" s="11"/>
      <c r="E6" s="11"/>
      <c r="F6" s="11"/>
      <c r="G6" s="11"/>
    </row>
    <row r="7" customFormat="false" ht="15" hidden="false" customHeight="false" outlineLevel="0" collapsed="false">
      <c r="A7" s="14"/>
      <c r="B7" s="11"/>
      <c r="C7" s="11"/>
      <c r="D7" s="11"/>
      <c r="E7" s="11"/>
      <c r="F7" s="11"/>
      <c r="G7" s="11"/>
    </row>
    <row r="8" customFormat="false" ht="15" hidden="false" customHeight="false" outlineLevel="0" collapsed="false">
      <c r="A8" s="14"/>
      <c r="B8" s="11"/>
      <c r="C8" s="11"/>
      <c r="D8" s="11"/>
      <c r="E8" s="11"/>
      <c r="F8" s="11"/>
      <c r="G8" s="11"/>
    </row>
    <row r="9" customFormat="false" ht="15" hidden="false" customHeight="false" outlineLevel="0" collapsed="false">
      <c r="A9" s="14"/>
      <c r="B9" s="11"/>
      <c r="C9" s="11"/>
      <c r="D9" s="11"/>
      <c r="E9" s="11"/>
      <c r="F9" s="11"/>
      <c r="G9" s="11"/>
    </row>
    <row r="10" customFormat="false" ht="15" hidden="false" customHeight="false" outlineLevel="0" collapsed="false">
      <c r="A10" s="14"/>
      <c r="B10" s="11"/>
      <c r="C10" s="11"/>
      <c r="D10" s="11"/>
      <c r="E10" s="11"/>
      <c r="F10" s="11"/>
      <c r="G10" s="11"/>
    </row>
    <row r="11" customFormat="false" ht="15" hidden="false" customHeight="false" outlineLevel="0" collapsed="false">
      <c r="A11" s="14"/>
      <c r="B11" s="11"/>
      <c r="C11" s="11"/>
      <c r="D11" s="11"/>
      <c r="E11" s="11"/>
      <c r="F11" s="11"/>
      <c r="G11" s="11"/>
    </row>
    <row r="12" customFormat="false" ht="15" hidden="false" customHeight="false" outlineLevel="0" collapsed="false">
      <c r="A12" s="14"/>
      <c r="B12" s="11"/>
      <c r="C12" s="11"/>
      <c r="D12" s="11"/>
      <c r="E12" s="11"/>
      <c r="F12" s="11"/>
      <c r="G12" s="11"/>
    </row>
    <row r="13" customFormat="false" ht="15" hidden="false" customHeight="false" outlineLevel="0" collapsed="false">
      <c r="A13" s="14"/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14"/>
      <c r="B14" s="11"/>
      <c r="C14" s="11"/>
      <c r="D14" s="11"/>
      <c r="E14" s="11"/>
      <c r="F14" s="11"/>
      <c r="G14" s="11"/>
    </row>
    <row r="15" customFormat="false" ht="15" hidden="false" customHeight="false" outlineLevel="0" collapsed="false">
      <c r="A15" s="14"/>
      <c r="B15" s="11"/>
      <c r="C15" s="11"/>
      <c r="D15" s="11"/>
      <c r="E15" s="11"/>
      <c r="F15" s="11"/>
      <c r="G15" s="11"/>
    </row>
    <row r="16" customFormat="false" ht="15" hidden="false" customHeight="false" outlineLevel="0" collapsed="false">
      <c r="A16" s="14"/>
      <c r="B16" s="11"/>
      <c r="C16" s="11"/>
      <c r="D16" s="11"/>
      <c r="E16" s="11"/>
      <c r="F16" s="11"/>
      <c r="G16" s="11"/>
    </row>
    <row r="17" customFormat="false" ht="15" hidden="false" customHeight="false" outlineLevel="0" collapsed="false">
      <c r="A17" s="14"/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14"/>
      <c r="B18" s="11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14"/>
      <c r="B19" s="11"/>
      <c r="C19" s="11"/>
      <c r="D19" s="11"/>
      <c r="E19" s="11"/>
      <c r="F19" s="11"/>
      <c r="G19" s="11"/>
    </row>
    <row r="20" customFormat="false" ht="15" hidden="false" customHeight="false" outlineLevel="0" collapsed="false">
      <c r="A20" s="14"/>
      <c r="B20" s="11"/>
      <c r="C20" s="11"/>
      <c r="D20" s="11"/>
      <c r="E20" s="11"/>
      <c r="F20" s="11"/>
      <c r="G20" s="11"/>
    </row>
    <row r="21" customFormat="false" ht="15" hidden="false" customHeight="false" outlineLevel="0" collapsed="false">
      <c r="A21" s="14"/>
      <c r="B21" s="11"/>
      <c r="C21" s="11"/>
      <c r="D21" s="11"/>
      <c r="E21" s="11"/>
      <c r="F21" s="11"/>
      <c r="G21" s="11"/>
    </row>
    <row r="22" customFormat="false" ht="15" hidden="false" customHeight="false" outlineLevel="0" collapsed="false">
      <c r="A22" s="14"/>
      <c r="B22" s="11"/>
      <c r="C22" s="11"/>
      <c r="D22" s="11"/>
      <c r="E22" s="11"/>
      <c r="F22" s="11"/>
      <c r="G22" s="11"/>
    </row>
    <row r="23" customFormat="false" ht="15" hidden="false" customHeight="false" outlineLevel="0" collapsed="false">
      <c r="A23" s="14"/>
      <c r="B23" s="11"/>
      <c r="C23" s="11"/>
      <c r="D23" s="11"/>
      <c r="E23" s="11"/>
      <c r="F23" s="11"/>
      <c r="G23" s="11"/>
    </row>
    <row r="24" customFormat="false" ht="15" hidden="false" customHeight="false" outlineLevel="0" collapsed="false">
      <c r="A24" s="14"/>
      <c r="B24" s="11"/>
      <c r="C24" s="11"/>
      <c r="D24" s="11"/>
      <c r="E24" s="11"/>
      <c r="F24" s="11"/>
      <c r="G24" s="11"/>
    </row>
    <row r="25" customFormat="false" ht="15" hidden="false" customHeight="false" outlineLevel="0" collapsed="false">
      <c r="A25" s="14"/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A26" s="14"/>
      <c r="B26" s="11"/>
      <c r="C26" s="11"/>
      <c r="D26" s="11"/>
      <c r="E26" s="11"/>
      <c r="F26" s="11"/>
      <c r="G26" s="11"/>
    </row>
    <row r="27" customFormat="false" ht="15" hidden="false" customHeight="false" outlineLevel="0" collapsed="false">
      <c r="A27" s="14"/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A28" s="14"/>
      <c r="B28" s="11"/>
      <c r="C28" s="11"/>
      <c r="D28" s="11"/>
      <c r="E28" s="11"/>
      <c r="F28" s="11"/>
      <c r="G28" s="11"/>
    </row>
    <row r="29" customFormat="false" ht="15" hidden="false" customHeight="false" outlineLevel="0" collapsed="false">
      <c r="A29" s="14"/>
      <c r="B29" s="11"/>
      <c r="C29" s="11"/>
      <c r="D29" s="11"/>
      <c r="E29" s="11"/>
      <c r="F29" s="11"/>
      <c r="G29" s="11"/>
    </row>
    <row r="30" customFormat="false" ht="15" hidden="false" customHeight="false" outlineLevel="0" collapsed="false">
      <c r="A30" s="14"/>
      <c r="B30" s="11"/>
      <c r="C30" s="11"/>
      <c r="D30" s="11"/>
      <c r="E30" s="11"/>
      <c r="F30" s="11"/>
      <c r="G30" s="11"/>
    </row>
    <row r="31" customFormat="false" ht="15" hidden="false" customHeight="false" outlineLevel="0" collapsed="false">
      <c r="A31" s="14"/>
      <c r="B31" s="11"/>
      <c r="C31" s="11"/>
      <c r="D31" s="11"/>
      <c r="E31" s="11"/>
      <c r="F31" s="11"/>
      <c r="G31" s="11"/>
    </row>
    <row r="32" customFormat="false" ht="15" hidden="false" customHeight="false" outlineLevel="0" collapsed="false">
      <c r="A32" s="14"/>
      <c r="B32" s="11"/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14"/>
      <c r="B33" s="11"/>
      <c r="C33" s="11"/>
      <c r="D33" s="11"/>
      <c r="E33" s="11"/>
      <c r="F33" s="11"/>
      <c r="G33" s="11"/>
    </row>
    <row r="34" customFormat="false" ht="15" hidden="false" customHeight="false" outlineLevel="0" collapsed="false">
      <c r="A34" s="14"/>
      <c r="B34" s="11"/>
      <c r="C34" s="11"/>
      <c r="D34" s="11"/>
      <c r="E34" s="11"/>
      <c r="F34" s="11"/>
      <c r="G34" s="11"/>
    </row>
    <row r="35" customFormat="false" ht="15" hidden="false" customHeight="false" outlineLevel="0" collapsed="false">
      <c r="A35" s="14"/>
      <c r="B35" s="11"/>
      <c r="C35" s="11"/>
      <c r="D35" s="11"/>
      <c r="E35" s="11"/>
      <c r="F35" s="11"/>
      <c r="G35" s="11"/>
    </row>
    <row r="36" customFormat="false" ht="15" hidden="false" customHeight="false" outlineLevel="0" collapsed="false">
      <c r="A36" s="14"/>
      <c r="B36" s="11"/>
      <c r="C36" s="11"/>
      <c r="D36" s="11"/>
      <c r="E36" s="11"/>
      <c r="F36" s="11"/>
      <c r="G36" s="11"/>
    </row>
    <row r="37" customFormat="false" ht="15" hidden="false" customHeight="false" outlineLevel="0" collapsed="false">
      <c r="A37" s="14"/>
      <c r="B37" s="11"/>
      <c r="C37" s="11"/>
      <c r="D37" s="11"/>
      <c r="E37" s="11"/>
      <c r="F37" s="11"/>
      <c r="G37" s="11"/>
    </row>
    <row r="38" customFormat="false" ht="15" hidden="false" customHeight="false" outlineLevel="0" collapsed="false">
      <c r="A38" s="14"/>
      <c r="B38" s="11"/>
      <c r="C38" s="11"/>
      <c r="D38" s="11"/>
      <c r="E38" s="11"/>
      <c r="F38" s="11"/>
      <c r="G38" s="11"/>
    </row>
    <row r="39" customFormat="false" ht="15" hidden="false" customHeight="false" outlineLevel="0" collapsed="false">
      <c r="A39" s="14"/>
      <c r="B39" s="11"/>
      <c r="C39" s="11"/>
      <c r="D39" s="11"/>
      <c r="E39" s="11"/>
      <c r="F39" s="11"/>
      <c r="G39" s="11"/>
    </row>
    <row r="40" customFormat="false" ht="15" hidden="false" customHeight="false" outlineLevel="0" collapsed="false">
      <c r="A40" s="14"/>
      <c r="B40" s="11"/>
      <c r="C40" s="11"/>
      <c r="D40" s="11"/>
      <c r="E40" s="11"/>
      <c r="F40" s="11"/>
      <c r="G40" s="11"/>
    </row>
    <row r="41" customFormat="false" ht="15" hidden="false" customHeight="false" outlineLevel="0" collapsed="false">
      <c r="A41" s="14"/>
      <c r="B41" s="11"/>
      <c r="C41" s="11"/>
      <c r="D41" s="11"/>
      <c r="E41" s="11"/>
      <c r="F41" s="11"/>
      <c r="G41" s="11"/>
    </row>
    <row r="42" customFormat="false" ht="15" hidden="false" customHeight="false" outlineLevel="0" collapsed="false">
      <c r="A42" s="14"/>
      <c r="B42" s="11"/>
      <c r="C42" s="11"/>
      <c r="D42" s="11"/>
      <c r="E42" s="11"/>
      <c r="F42" s="11"/>
      <c r="G42" s="11"/>
    </row>
    <row r="43" customFormat="false" ht="15" hidden="false" customHeight="false" outlineLevel="0" collapsed="false">
      <c r="A43" s="14"/>
      <c r="B43" s="11"/>
      <c r="C43" s="11"/>
      <c r="D43" s="11"/>
      <c r="E43" s="11"/>
      <c r="F43" s="11"/>
      <c r="G43" s="11"/>
    </row>
    <row r="44" customFormat="false" ht="15" hidden="false" customHeight="false" outlineLevel="0" collapsed="false">
      <c r="A44" s="14"/>
      <c r="B44" s="11"/>
      <c r="C44" s="11"/>
      <c r="D44" s="11"/>
      <c r="E44" s="11"/>
      <c r="F44" s="11"/>
      <c r="G44" s="11"/>
    </row>
    <row r="45" customFormat="false" ht="15" hidden="false" customHeight="false" outlineLevel="0" collapsed="false">
      <c r="A45" s="14"/>
      <c r="B45" s="11"/>
      <c r="C45" s="11"/>
      <c r="D45" s="11"/>
      <c r="E45" s="11"/>
      <c r="F45" s="11"/>
      <c r="G45" s="11"/>
    </row>
    <row r="46" customFormat="false" ht="15" hidden="false" customHeight="false" outlineLevel="0" collapsed="false">
      <c r="A46" s="14"/>
      <c r="B46" s="11"/>
      <c r="C46" s="11"/>
      <c r="D46" s="11"/>
      <c r="E46" s="11"/>
      <c r="F46" s="11"/>
      <c r="G46" s="11"/>
    </row>
    <row r="47" customFormat="false" ht="15" hidden="false" customHeight="false" outlineLevel="0" collapsed="false">
      <c r="A47" s="14"/>
      <c r="B47" s="11"/>
      <c r="C47" s="11"/>
      <c r="D47" s="11"/>
      <c r="E47" s="11"/>
      <c r="F47" s="11"/>
      <c r="G47" s="11"/>
    </row>
    <row r="48" customFormat="false" ht="15" hidden="false" customHeight="false" outlineLevel="0" collapsed="false">
      <c r="A48" s="14"/>
      <c r="B48" s="11"/>
      <c r="C48" s="11"/>
      <c r="D48" s="11"/>
      <c r="E48" s="11"/>
      <c r="F48" s="11"/>
      <c r="G48" s="11"/>
    </row>
    <row r="49" customFormat="false" ht="15" hidden="false" customHeight="false" outlineLevel="0" collapsed="false">
      <c r="A49" s="14"/>
      <c r="B49" s="11"/>
      <c r="C49" s="11"/>
      <c r="D49" s="11"/>
      <c r="E49" s="11"/>
      <c r="F49" s="11"/>
      <c r="G49" s="11"/>
    </row>
    <row r="50" customFormat="false" ht="15" hidden="false" customHeight="false" outlineLevel="0" collapsed="false">
      <c r="A50" s="14"/>
      <c r="B50" s="11"/>
      <c r="C50" s="11"/>
      <c r="D50" s="11"/>
      <c r="E50" s="11"/>
      <c r="F50" s="11"/>
      <c r="G50" s="11"/>
    </row>
    <row r="51" customFormat="false" ht="15" hidden="false" customHeight="false" outlineLevel="0" collapsed="false">
      <c r="A51" s="14"/>
      <c r="B51" s="11"/>
      <c r="C51" s="11"/>
      <c r="D51" s="11"/>
      <c r="E51" s="11"/>
      <c r="F51" s="11"/>
      <c r="G51" s="11"/>
    </row>
    <row r="52" customFormat="false" ht="15" hidden="false" customHeight="false" outlineLevel="0" collapsed="false">
      <c r="A52" s="14"/>
      <c r="B52" s="11"/>
      <c r="C52" s="11"/>
      <c r="D52" s="11"/>
      <c r="E52" s="11"/>
      <c r="F52" s="11"/>
      <c r="G52" s="11"/>
    </row>
    <row r="53" customFormat="false" ht="15" hidden="false" customHeight="false" outlineLevel="0" collapsed="false">
      <c r="A53" s="14"/>
      <c r="B53" s="11"/>
      <c r="C53" s="11"/>
      <c r="D53" s="11"/>
      <c r="E53" s="11"/>
      <c r="F53" s="11"/>
      <c r="G53" s="11"/>
    </row>
    <row r="54" customFormat="false" ht="15" hidden="false" customHeight="false" outlineLevel="0" collapsed="false">
      <c r="A54" s="14"/>
      <c r="B54" s="11"/>
      <c r="C54" s="11"/>
      <c r="D54" s="11"/>
      <c r="E54" s="11"/>
      <c r="F54" s="11"/>
      <c r="G54" s="11"/>
    </row>
    <row r="55" customFormat="false" ht="15" hidden="false" customHeight="false" outlineLevel="0" collapsed="false">
      <c r="A55" s="14"/>
      <c r="B55" s="11"/>
      <c r="C55" s="11"/>
      <c r="D55" s="11"/>
      <c r="E55" s="11"/>
      <c r="F55" s="11"/>
      <c r="G55" s="11"/>
    </row>
    <row r="56" customFormat="false" ht="15" hidden="false" customHeight="false" outlineLevel="0" collapsed="false">
      <c r="A56" s="14"/>
      <c r="B56" s="11"/>
      <c r="C56" s="11"/>
      <c r="D56" s="11"/>
      <c r="E56" s="11"/>
      <c r="F56" s="11"/>
      <c r="G56" s="11"/>
    </row>
    <row r="57" customFormat="false" ht="15" hidden="false" customHeight="false" outlineLevel="0" collapsed="false">
      <c r="A57" s="14"/>
      <c r="B57" s="11"/>
      <c r="C57" s="11"/>
      <c r="D57" s="11"/>
      <c r="E57" s="11"/>
      <c r="F57" s="11"/>
      <c r="G57" s="11"/>
    </row>
    <row r="58" customFormat="false" ht="15" hidden="false" customHeight="false" outlineLevel="0" collapsed="false">
      <c r="A58" s="14"/>
      <c r="B58" s="11"/>
      <c r="C58" s="11"/>
      <c r="D58" s="11"/>
      <c r="E58" s="11"/>
      <c r="F58" s="11"/>
      <c r="G58" s="11"/>
    </row>
    <row r="59" customFormat="false" ht="15" hidden="false" customHeight="false" outlineLevel="0" collapsed="false">
      <c r="A59" s="14"/>
      <c r="B59" s="11"/>
      <c r="C59" s="11"/>
      <c r="D59" s="11"/>
      <c r="E59" s="11"/>
      <c r="F59" s="11"/>
      <c r="G59" s="11"/>
    </row>
    <row r="60" customFormat="false" ht="15" hidden="false" customHeight="false" outlineLevel="0" collapsed="false">
      <c r="A60" s="14"/>
      <c r="B60" s="11"/>
      <c r="C60" s="11"/>
      <c r="D60" s="11"/>
      <c r="E60" s="11"/>
      <c r="F60" s="11"/>
      <c r="G60" s="11"/>
    </row>
    <row r="61" customFormat="false" ht="15" hidden="false" customHeight="false" outlineLevel="0" collapsed="false">
      <c r="A61" s="14"/>
      <c r="B61" s="11"/>
      <c r="C61" s="11"/>
      <c r="D61" s="11"/>
      <c r="E61" s="11"/>
      <c r="F61" s="11"/>
      <c r="G61" s="11"/>
    </row>
    <row r="62" customFormat="false" ht="15" hidden="false" customHeight="false" outlineLevel="0" collapsed="false">
      <c r="A62" s="14"/>
      <c r="B62" s="11"/>
      <c r="C62" s="11"/>
      <c r="D62" s="11"/>
      <c r="E62" s="11"/>
      <c r="F62" s="11"/>
      <c r="G62" s="11"/>
    </row>
    <row r="63" customFormat="false" ht="15" hidden="false" customHeight="false" outlineLevel="0" collapsed="false">
      <c r="A63" s="14"/>
      <c r="B63" s="11"/>
      <c r="C63" s="11"/>
      <c r="D63" s="11"/>
      <c r="E63" s="11"/>
      <c r="F63" s="11"/>
      <c r="G63" s="11"/>
    </row>
    <row r="64" customFormat="false" ht="15" hidden="false" customHeight="false" outlineLevel="0" collapsed="false">
      <c r="A64" s="14"/>
      <c r="B64" s="11"/>
      <c r="C64" s="11"/>
      <c r="D64" s="11"/>
      <c r="E64" s="11"/>
      <c r="F64" s="11"/>
      <c r="G64" s="11"/>
    </row>
    <row r="65" customFormat="false" ht="15" hidden="false" customHeight="false" outlineLevel="0" collapsed="false">
      <c r="A65" s="14"/>
      <c r="B65" s="11"/>
      <c r="C65" s="11"/>
      <c r="D65" s="11"/>
      <c r="E65" s="11"/>
      <c r="F65" s="11"/>
      <c r="G65" s="11"/>
    </row>
    <row r="66" customFormat="false" ht="15" hidden="false" customHeight="false" outlineLevel="0" collapsed="false">
      <c r="A66" s="14"/>
      <c r="B66" s="11"/>
      <c r="C66" s="11"/>
      <c r="D66" s="11"/>
      <c r="E66" s="11"/>
      <c r="F66" s="11"/>
      <c r="G66" s="11"/>
    </row>
    <row r="67" customFormat="false" ht="15" hidden="false" customHeight="false" outlineLevel="0" collapsed="false">
      <c r="A67" s="14"/>
      <c r="B67" s="11"/>
      <c r="C67" s="11"/>
      <c r="D67" s="11"/>
      <c r="E67" s="11"/>
      <c r="F67" s="11"/>
      <c r="G67" s="11"/>
    </row>
    <row r="68" customFormat="false" ht="15" hidden="false" customHeight="false" outlineLevel="0" collapsed="false">
      <c r="A68" s="14"/>
      <c r="B68" s="11"/>
      <c r="C68" s="11"/>
      <c r="D68" s="11"/>
      <c r="E68" s="11"/>
      <c r="F68" s="11"/>
      <c r="G68" s="11"/>
    </row>
    <row r="69" customFormat="false" ht="15" hidden="false" customHeight="false" outlineLevel="0" collapsed="false">
      <c r="A69" s="14"/>
      <c r="B69" s="11"/>
      <c r="C69" s="11"/>
      <c r="D69" s="11"/>
      <c r="E69" s="11"/>
      <c r="F69" s="11"/>
      <c r="G69" s="11"/>
    </row>
    <row r="70" customFormat="false" ht="15" hidden="false" customHeight="false" outlineLevel="0" collapsed="false">
      <c r="A70" s="14"/>
      <c r="B70" s="11"/>
      <c r="C70" s="11"/>
      <c r="D70" s="11"/>
      <c r="E70" s="11"/>
      <c r="F70" s="11"/>
      <c r="G70" s="11"/>
    </row>
    <row r="71" customFormat="false" ht="15" hidden="false" customHeight="false" outlineLevel="0" collapsed="false">
      <c r="A71" s="14"/>
      <c r="B71" s="11"/>
      <c r="C71" s="11"/>
      <c r="D71" s="11"/>
      <c r="E71" s="11"/>
      <c r="F71" s="11"/>
      <c r="G71" s="11"/>
    </row>
    <row r="72" customFormat="false" ht="15" hidden="false" customHeight="false" outlineLevel="0" collapsed="false">
      <c r="A72" s="14"/>
      <c r="B72" s="11"/>
      <c r="C72" s="11"/>
      <c r="D72" s="11"/>
      <c r="E72" s="11"/>
      <c r="F72" s="11"/>
      <c r="G72" s="11"/>
    </row>
    <row r="73" customFormat="false" ht="15" hidden="false" customHeight="false" outlineLevel="0" collapsed="false">
      <c r="A73" s="14"/>
      <c r="B73" s="11"/>
      <c r="C73" s="11"/>
      <c r="D73" s="11"/>
      <c r="E73" s="11"/>
      <c r="F73" s="11"/>
      <c r="G73" s="11"/>
    </row>
    <row r="74" customFormat="false" ht="15" hidden="false" customHeight="false" outlineLevel="0" collapsed="false">
      <c r="A74" s="14"/>
      <c r="B74" s="11"/>
      <c r="C74" s="11"/>
      <c r="D74" s="11"/>
      <c r="E74" s="11"/>
      <c r="F74" s="11"/>
      <c r="G74" s="11"/>
    </row>
    <row r="75" customFormat="false" ht="15" hidden="false" customHeight="false" outlineLevel="0" collapsed="false">
      <c r="A75" s="14"/>
      <c r="B75" s="11"/>
      <c r="C75" s="11"/>
      <c r="D75" s="11"/>
      <c r="E75" s="11"/>
      <c r="F75" s="11"/>
      <c r="G75" s="11"/>
    </row>
    <row r="76" customFormat="false" ht="15" hidden="false" customHeight="false" outlineLevel="0" collapsed="false">
      <c r="A76" s="14"/>
      <c r="B76" s="11"/>
      <c r="C76" s="11"/>
      <c r="D76" s="11"/>
      <c r="E76" s="11"/>
      <c r="F76" s="11"/>
      <c r="G76" s="11"/>
    </row>
    <row r="77" customFormat="false" ht="15" hidden="false" customHeight="false" outlineLevel="0" collapsed="false">
      <c r="A77" s="14"/>
      <c r="B77" s="11"/>
      <c r="C77" s="11"/>
      <c r="D77" s="11"/>
      <c r="E77" s="11"/>
      <c r="F77" s="11"/>
      <c r="G77" s="11"/>
    </row>
    <row r="78" customFormat="false" ht="15" hidden="false" customHeight="false" outlineLevel="0" collapsed="false">
      <c r="A78" s="14"/>
      <c r="B78" s="11"/>
      <c r="C78" s="11"/>
      <c r="D78" s="11"/>
      <c r="E78" s="11"/>
      <c r="F78" s="11"/>
      <c r="G78" s="11"/>
    </row>
    <row r="79" customFormat="false" ht="15" hidden="false" customHeight="false" outlineLevel="0" collapsed="false">
      <c r="A79" s="14"/>
      <c r="B79" s="11"/>
      <c r="C79" s="11"/>
      <c r="D79" s="11"/>
      <c r="E79" s="11"/>
      <c r="F79" s="11"/>
      <c r="G79" s="11"/>
    </row>
    <row r="80" customFormat="false" ht="15" hidden="false" customHeight="false" outlineLevel="0" collapsed="false">
      <c r="A80" s="14"/>
      <c r="B80" s="11"/>
      <c r="C80" s="11"/>
      <c r="D80" s="11"/>
      <c r="E80" s="11"/>
      <c r="F80" s="11"/>
      <c r="G80" s="11"/>
    </row>
    <row r="81" customFormat="false" ht="15" hidden="false" customHeight="false" outlineLevel="0" collapsed="false">
      <c r="A81" s="14"/>
      <c r="B81" s="11"/>
      <c r="C81" s="11"/>
      <c r="D81" s="11"/>
      <c r="E81" s="11"/>
      <c r="F81" s="11"/>
      <c r="G81" s="11"/>
    </row>
    <row r="82" customFormat="false" ht="15" hidden="false" customHeight="false" outlineLevel="0" collapsed="false">
      <c r="A82" s="14"/>
      <c r="B82" s="11"/>
      <c r="C82" s="11"/>
      <c r="D82" s="11"/>
      <c r="E82" s="11"/>
      <c r="F82" s="11"/>
      <c r="G82" s="11"/>
    </row>
    <row r="83" customFormat="false" ht="15" hidden="false" customHeight="false" outlineLevel="0" collapsed="false">
      <c r="A83" s="14"/>
      <c r="B83" s="11"/>
      <c r="C83" s="11"/>
      <c r="D83" s="11"/>
      <c r="E83" s="11"/>
      <c r="F83" s="11"/>
      <c r="G83" s="11"/>
    </row>
    <row r="84" customFormat="false" ht="15" hidden="false" customHeight="false" outlineLevel="0" collapsed="false">
      <c r="A84" s="14"/>
      <c r="B84" s="11"/>
      <c r="C84" s="11"/>
      <c r="D84" s="11"/>
      <c r="E84" s="11"/>
      <c r="F84" s="11"/>
      <c r="G84" s="11"/>
    </row>
    <row r="85" customFormat="false" ht="15" hidden="false" customHeight="false" outlineLevel="0" collapsed="false">
      <c r="A85" s="14"/>
      <c r="B85" s="11"/>
      <c r="C85" s="11"/>
      <c r="D85" s="11"/>
      <c r="E85" s="11"/>
      <c r="F85" s="11"/>
      <c r="G85" s="11"/>
    </row>
    <row r="86" customFormat="false" ht="15" hidden="false" customHeight="false" outlineLevel="0" collapsed="false">
      <c r="A86" s="14"/>
      <c r="B86" s="11"/>
      <c r="C86" s="11"/>
      <c r="D86" s="11"/>
      <c r="E86" s="11"/>
      <c r="F86" s="11"/>
      <c r="G86" s="11"/>
    </row>
    <row r="87" customFormat="false" ht="15" hidden="false" customHeight="false" outlineLevel="0" collapsed="false">
      <c r="A87" s="14"/>
      <c r="B87" s="11"/>
      <c r="C87" s="11"/>
      <c r="D87" s="11"/>
      <c r="E87" s="11"/>
      <c r="F87" s="11"/>
      <c r="G87" s="11"/>
    </row>
    <row r="88" customFormat="false" ht="15" hidden="false" customHeight="false" outlineLevel="0" collapsed="false">
      <c r="A88" s="14"/>
      <c r="B88" s="11"/>
      <c r="C88" s="11"/>
      <c r="D88" s="11"/>
      <c r="E88" s="11"/>
      <c r="F88" s="11"/>
      <c r="G88" s="11"/>
    </row>
    <row r="89" customFormat="false" ht="15" hidden="false" customHeight="false" outlineLevel="0" collapsed="false">
      <c r="A89" s="14"/>
      <c r="B89" s="11"/>
      <c r="C89" s="11"/>
      <c r="D89" s="11"/>
      <c r="E89" s="11"/>
      <c r="F89" s="11"/>
      <c r="G89" s="11"/>
    </row>
    <row r="90" customFormat="false" ht="15" hidden="false" customHeight="false" outlineLevel="0" collapsed="false">
      <c r="A90" s="14"/>
      <c r="B90" s="11"/>
      <c r="C90" s="11"/>
      <c r="D90" s="11"/>
      <c r="E90" s="11"/>
      <c r="F90" s="11"/>
      <c r="G90" s="11"/>
    </row>
    <row r="91" customFormat="false" ht="15" hidden="false" customHeight="false" outlineLevel="0" collapsed="false">
      <c r="A91" s="14"/>
      <c r="B91" s="11"/>
      <c r="C91" s="11"/>
      <c r="D91" s="11"/>
      <c r="E91" s="11"/>
      <c r="F91" s="11"/>
      <c r="G91" s="11"/>
    </row>
    <row r="92" customFormat="false" ht="15" hidden="false" customHeight="false" outlineLevel="0" collapsed="false">
      <c r="A92" s="14"/>
      <c r="B92" s="11"/>
      <c r="C92" s="11"/>
      <c r="D92" s="11"/>
      <c r="E92" s="11"/>
      <c r="F92" s="11"/>
      <c r="G92" s="11"/>
    </row>
    <row r="93" customFormat="false" ht="15" hidden="false" customHeight="false" outlineLevel="0" collapsed="false">
      <c r="A93" s="14"/>
      <c r="B93" s="11"/>
      <c r="C93" s="11"/>
      <c r="D93" s="11"/>
      <c r="E93" s="11"/>
      <c r="F93" s="11"/>
      <c r="G93" s="11"/>
    </row>
    <row r="94" customFormat="false" ht="15" hidden="false" customHeight="false" outlineLevel="0" collapsed="false">
      <c r="A94" s="14"/>
      <c r="B94" s="11"/>
      <c r="C94" s="11"/>
      <c r="D94" s="11"/>
      <c r="E94" s="11"/>
      <c r="F94" s="11"/>
      <c r="G94" s="11"/>
    </row>
    <row r="95" customFormat="false" ht="15" hidden="false" customHeight="false" outlineLevel="0" collapsed="false">
      <c r="A95" s="14"/>
      <c r="B95" s="11"/>
      <c r="C95" s="11"/>
      <c r="D95" s="11"/>
      <c r="E95" s="11"/>
      <c r="F95" s="11"/>
      <c r="G95" s="11"/>
    </row>
    <row r="96" customFormat="false" ht="15" hidden="false" customHeight="false" outlineLevel="0" collapsed="false">
      <c r="A96" s="14"/>
      <c r="B96" s="11"/>
      <c r="C96" s="11"/>
      <c r="D96" s="11"/>
      <c r="E96" s="11"/>
      <c r="F96" s="11"/>
      <c r="G96" s="11"/>
    </row>
    <row r="97" customFormat="false" ht="15" hidden="false" customHeight="false" outlineLevel="0" collapsed="false">
      <c r="A97" s="14"/>
      <c r="B97" s="11"/>
      <c r="C97" s="11"/>
      <c r="D97" s="11"/>
      <c r="E97" s="11"/>
      <c r="F97" s="11"/>
      <c r="G97" s="11"/>
    </row>
    <row r="98" customFormat="false" ht="15" hidden="false" customHeight="false" outlineLevel="0" collapsed="false">
      <c r="A98" s="14"/>
      <c r="B98" s="11"/>
      <c r="C98" s="11"/>
      <c r="D98" s="11"/>
      <c r="E98" s="11"/>
      <c r="F98" s="11"/>
      <c r="G98" s="11"/>
    </row>
    <row r="99" customFormat="false" ht="15" hidden="false" customHeight="false" outlineLevel="0" collapsed="false">
      <c r="A99" s="14"/>
      <c r="B99" s="11"/>
      <c r="C99" s="11"/>
      <c r="D99" s="11"/>
      <c r="E99" s="11"/>
      <c r="F99" s="11"/>
      <c r="G99" s="11"/>
    </row>
    <row r="100" customFormat="false" ht="15" hidden="false" customHeight="false" outlineLevel="0" collapsed="false">
      <c r="A100" s="14"/>
      <c r="B100" s="11"/>
      <c r="C100" s="11"/>
      <c r="D100" s="11"/>
      <c r="E100" s="11"/>
      <c r="F100" s="11"/>
      <c r="G100" s="11"/>
    </row>
    <row r="101" customFormat="false" ht="15" hidden="false" customHeight="false" outlineLevel="0" collapsed="false">
      <c r="A101" s="14"/>
      <c r="B101" s="11"/>
      <c r="C101" s="11"/>
      <c r="D101" s="11"/>
      <c r="E101" s="11"/>
      <c r="F101" s="11"/>
      <c r="G101" s="11"/>
    </row>
    <row r="102" customFormat="false" ht="15" hidden="false" customHeight="false" outlineLevel="0" collapsed="false">
      <c r="A102" s="14"/>
      <c r="B102" s="11"/>
      <c r="C102" s="11"/>
      <c r="D102" s="11"/>
      <c r="E102" s="11"/>
      <c r="F102" s="11"/>
      <c r="G102" s="11"/>
    </row>
    <row r="103" customFormat="false" ht="15" hidden="false" customHeight="false" outlineLevel="0" collapsed="false">
      <c r="A103" s="14"/>
      <c r="B103" s="11"/>
      <c r="C103" s="11"/>
      <c r="D103" s="11"/>
      <c r="E103" s="11"/>
      <c r="F103" s="11"/>
      <c r="G103" s="11"/>
    </row>
    <row r="104" customFormat="false" ht="15" hidden="false" customHeight="false" outlineLevel="0" collapsed="false">
      <c r="A104" s="14"/>
      <c r="B104" s="11"/>
      <c r="C104" s="11"/>
      <c r="D104" s="11"/>
      <c r="E104" s="11"/>
      <c r="F104" s="11"/>
      <c r="G104" s="11"/>
    </row>
    <row r="105" customFormat="false" ht="15" hidden="false" customHeight="false" outlineLevel="0" collapsed="false">
      <c r="A105" s="14"/>
      <c r="B105" s="11"/>
      <c r="C105" s="11"/>
      <c r="D105" s="11"/>
      <c r="E105" s="11"/>
      <c r="F105" s="11"/>
      <c r="G105" s="11"/>
    </row>
    <row r="106" customFormat="false" ht="15" hidden="false" customHeight="false" outlineLevel="0" collapsed="false">
      <c r="A106" s="14"/>
      <c r="B106" s="11"/>
      <c r="C106" s="11"/>
      <c r="D106" s="11"/>
      <c r="E106" s="11"/>
      <c r="F106" s="11"/>
      <c r="G106" s="11"/>
    </row>
    <row r="107" customFormat="false" ht="15" hidden="false" customHeight="false" outlineLevel="0" collapsed="false">
      <c r="A107" s="14"/>
      <c r="B107" s="11"/>
      <c r="C107" s="11"/>
      <c r="D107" s="11"/>
      <c r="E107" s="11"/>
      <c r="F107" s="11"/>
      <c r="G107" s="11"/>
    </row>
    <row r="108" customFormat="false" ht="15" hidden="false" customHeight="false" outlineLevel="0" collapsed="false">
      <c r="A108" s="14"/>
      <c r="B108" s="11"/>
      <c r="C108" s="11"/>
      <c r="D108" s="11"/>
      <c r="E108" s="11"/>
      <c r="F108" s="11"/>
      <c r="G108" s="11"/>
    </row>
    <row r="109" customFormat="false" ht="15" hidden="false" customHeight="false" outlineLevel="0" collapsed="false">
      <c r="A109" s="14"/>
      <c r="B109" s="11"/>
      <c r="C109" s="11"/>
      <c r="D109" s="11"/>
      <c r="E109" s="11"/>
      <c r="F109" s="11"/>
      <c r="G109" s="11"/>
    </row>
    <row r="110" customFormat="false" ht="15" hidden="false" customHeight="false" outlineLevel="0" collapsed="false">
      <c r="A110" s="14"/>
      <c r="B110" s="11"/>
      <c r="C110" s="11"/>
      <c r="D110" s="11"/>
      <c r="E110" s="11"/>
      <c r="F110" s="11"/>
      <c r="G110" s="11"/>
    </row>
    <row r="111" customFormat="false" ht="15" hidden="false" customHeight="false" outlineLevel="0" collapsed="false">
      <c r="A111" s="14"/>
      <c r="B111" s="11"/>
      <c r="C111" s="11"/>
      <c r="D111" s="11"/>
      <c r="E111" s="11"/>
      <c r="F111" s="11"/>
      <c r="G111" s="11"/>
    </row>
    <row r="112" customFormat="false" ht="15" hidden="false" customHeight="false" outlineLevel="0" collapsed="false">
      <c r="A112" s="14"/>
      <c r="B112" s="11"/>
      <c r="C112" s="11"/>
      <c r="D112" s="11"/>
      <c r="E112" s="11"/>
      <c r="F112" s="11"/>
      <c r="G112" s="11"/>
    </row>
    <row r="113" customFormat="false" ht="15" hidden="false" customHeight="false" outlineLevel="0" collapsed="false">
      <c r="A113" s="14"/>
      <c r="B113" s="11"/>
      <c r="C113" s="11"/>
      <c r="D113" s="11"/>
      <c r="E113" s="11"/>
      <c r="F113" s="11"/>
      <c r="G113" s="11"/>
    </row>
    <row r="114" customFormat="false" ht="15" hidden="false" customHeight="false" outlineLevel="0" collapsed="false">
      <c r="A114" s="14"/>
      <c r="B114" s="11"/>
      <c r="C114" s="11"/>
      <c r="D114" s="11"/>
      <c r="E114" s="11"/>
      <c r="F114" s="11"/>
      <c r="G114" s="11"/>
    </row>
    <row r="115" customFormat="false" ht="15" hidden="false" customHeight="false" outlineLevel="0" collapsed="false">
      <c r="A115" s="14"/>
      <c r="B115" s="11"/>
      <c r="C115" s="11"/>
      <c r="D115" s="11"/>
      <c r="E115" s="11"/>
      <c r="F115" s="11"/>
      <c r="G115" s="11"/>
    </row>
    <row r="116" customFormat="false" ht="15" hidden="false" customHeight="false" outlineLevel="0" collapsed="false">
      <c r="A116" s="14"/>
      <c r="B116" s="11"/>
      <c r="C116" s="11"/>
      <c r="D116" s="11"/>
      <c r="E116" s="11"/>
      <c r="F116" s="11"/>
      <c r="G116" s="11"/>
    </row>
    <row r="117" customFormat="false" ht="15" hidden="false" customHeight="false" outlineLevel="0" collapsed="false">
      <c r="A117" s="14"/>
      <c r="B117" s="11"/>
      <c r="C117" s="11"/>
      <c r="D117" s="11"/>
      <c r="E117" s="11"/>
      <c r="F117" s="11"/>
      <c r="G117" s="11"/>
    </row>
    <row r="118" customFormat="false" ht="15" hidden="false" customHeight="false" outlineLevel="0" collapsed="false">
      <c r="A118" s="14"/>
      <c r="B118" s="11"/>
      <c r="C118" s="11"/>
      <c r="D118" s="11"/>
      <c r="E118" s="11"/>
      <c r="F118" s="11"/>
      <c r="G118" s="11"/>
    </row>
    <row r="119" customFormat="false" ht="15" hidden="false" customHeight="false" outlineLevel="0" collapsed="false">
      <c r="A119" s="14"/>
      <c r="B119" s="11"/>
      <c r="C119" s="11"/>
      <c r="D119" s="11"/>
      <c r="E119" s="11"/>
      <c r="F119" s="11"/>
      <c r="G119" s="11"/>
    </row>
    <row r="120" customFormat="false" ht="15" hidden="false" customHeight="false" outlineLevel="0" collapsed="false">
      <c r="A120" s="14"/>
      <c r="B120" s="11"/>
      <c r="C120" s="11"/>
      <c r="D120" s="11"/>
      <c r="E120" s="11"/>
      <c r="F120" s="11"/>
      <c r="G120" s="11"/>
    </row>
    <row r="121" customFormat="false" ht="15" hidden="false" customHeight="false" outlineLevel="0" collapsed="false">
      <c r="A121" s="14"/>
      <c r="B121" s="11"/>
      <c r="C121" s="11"/>
      <c r="D121" s="11"/>
      <c r="E121" s="11"/>
      <c r="F121" s="11"/>
      <c r="G121" s="11"/>
    </row>
    <row r="122" customFormat="false" ht="15" hidden="false" customHeight="false" outlineLevel="0" collapsed="false">
      <c r="A122" s="14"/>
      <c r="B122" s="11"/>
      <c r="C122" s="11"/>
      <c r="D122" s="11"/>
      <c r="E122" s="11"/>
      <c r="F122" s="11"/>
      <c r="G122" s="11"/>
    </row>
    <row r="123" customFormat="false" ht="15" hidden="false" customHeight="false" outlineLevel="0" collapsed="false">
      <c r="A123" s="14"/>
      <c r="B123" s="11"/>
      <c r="C123" s="11"/>
      <c r="D123" s="11"/>
      <c r="E123" s="11"/>
      <c r="F123" s="11"/>
      <c r="G123" s="11"/>
    </row>
    <row r="124" customFormat="false" ht="15" hidden="false" customHeight="false" outlineLevel="0" collapsed="false">
      <c r="A124" s="14"/>
      <c r="B124" s="11"/>
      <c r="C124" s="11"/>
      <c r="D124" s="11"/>
      <c r="E124" s="11"/>
      <c r="F124" s="11"/>
      <c r="G124" s="11"/>
    </row>
    <row r="125" customFormat="false" ht="15" hidden="false" customHeight="false" outlineLevel="0" collapsed="false">
      <c r="A125" s="14"/>
      <c r="B125" s="11"/>
      <c r="C125" s="11"/>
      <c r="D125" s="11"/>
      <c r="E125" s="11"/>
      <c r="F125" s="11"/>
      <c r="G125" s="11"/>
    </row>
    <row r="126" customFormat="false" ht="15" hidden="false" customHeight="false" outlineLevel="0" collapsed="false">
      <c r="A126" s="14"/>
      <c r="B126" s="11"/>
      <c r="C126" s="11"/>
      <c r="D126" s="11"/>
      <c r="E126" s="11"/>
      <c r="F126" s="11"/>
      <c r="G126" s="11"/>
    </row>
    <row r="127" customFormat="false" ht="15" hidden="false" customHeight="false" outlineLevel="0" collapsed="false">
      <c r="A127" s="14"/>
      <c r="B127" s="11"/>
      <c r="C127" s="11"/>
      <c r="D127" s="11"/>
      <c r="E127" s="11"/>
      <c r="F127" s="11"/>
      <c r="G127" s="11"/>
    </row>
    <row r="128" customFormat="false" ht="15" hidden="false" customHeight="false" outlineLevel="0" collapsed="false">
      <c r="A128" s="14"/>
      <c r="B128" s="11"/>
      <c r="C128" s="11"/>
      <c r="D128" s="11"/>
      <c r="E128" s="11"/>
      <c r="F128" s="11"/>
      <c r="G128" s="11"/>
    </row>
    <row r="129" customFormat="false" ht="15" hidden="false" customHeight="false" outlineLevel="0" collapsed="false">
      <c r="A129" s="14"/>
      <c r="B129" s="11"/>
      <c r="C129" s="11"/>
      <c r="D129" s="11"/>
      <c r="E129" s="11"/>
      <c r="F129" s="11"/>
      <c r="G129" s="11"/>
    </row>
    <row r="130" customFormat="false" ht="15" hidden="false" customHeight="false" outlineLevel="0" collapsed="false">
      <c r="A130" s="14"/>
      <c r="B130" s="11"/>
      <c r="C130" s="11"/>
      <c r="D130" s="11"/>
      <c r="E130" s="11"/>
      <c r="F130" s="11"/>
      <c r="G130" s="11"/>
    </row>
    <row r="131" customFormat="false" ht="15" hidden="false" customHeight="false" outlineLevel="0" collapsed="false">
      <c r="A131" s="14"/>
      <c r="B131" s="11"/>
      <c r="C131" s="11"/>
      <c r="D131" s="11"/>
      <c r="E131" s="11"/>
      <c r="F131" s="11"/>
      <c r="G131" s="11"/>
    </row>
    <row r="132" customFormat="false" ht="15" hidden="false" customHeight="false" outlineLevel="0" collapsed="false">
      <c r="A132" s="14"/>
      <c r="B132" s="11"/>
      <c r="C132" s="11"/>
      <c r="D132" s="11"/>
      <c r="E132" s="11"/>
      <c r="F132" s="11"/>
      <c r="G132" s="11"/>
    </row>
    <row r="133" customFormat="false" ht="15" hidden="false" customHeight="false" outlineLevel="0" collapsed="false">
      <c r="A133" s="14"/>
      <c r="B133" s="11"/>
      <c r="C133" s="11"/>
      <c r="D133" s="11"/>
      <c r="E133" s="11"/>
      <c r="F133" s="11"/>
      <c r="G133" s="11"/>
    </row>
    <row r="134" customFormat="false" ht="15" hidden="false" customHeight="false" outlineLevel="0" collapsed="false">
      <c r="A134" s="14"/>
      <c r="B134" s="11"/>
      <c r="C134" s="11"/>
      <c r="D134" s="11"/>
      <c r="E134" s="11"/>
      <c r="F134" s="11"/>
      <c r="G134" s="11"/>
    </row>
    <row r="135" customFormat="false" ht="15" hidden="false" customHeight="false" outlineLevel="0" collapsed="false">
      <c r="A135" s="14"/>
      <c r="B135" s="11"/>
      <c r="C135" s="11"/>
      <c r="D135" s="11"/>
      <c r="E135" s="11"/>
      <c r="F135" s="11"/>
      <c r="G135" s="11"/>
    </row>
    <row r="136" customFormat="false" ht="15" hidden="false" customHeight="false" outlineLevel="0" collapsed="false">
      <c r="A136" s="14"/>
      <c r="B136" s="11"/>
      <c r="C136" s="11"/>
      <c r="D136" s="11"/>
      <c r="E136" s="11"/>
      <c r="F136" s="11"/>
      <c r="G136" s="11"/>
    </row>
    <row r="137" customFormat="false" ht="15" hidden="false" customHeight="false" outlineLevel="0" collapsed="false">
      <c r="A137" s="14"/>
      <c r="B137" s="11"/>
      <c r="C137" s="11"/>
      <c r="D137" s="11"/>
      <c r="E137" s="11"/>
      <c r="F137" s="11"/>
      <c r="G137" s="11"/>
    </row>
    <row r="138" customFormat="false" ht="15" hidden="false" customHeight="false" outlineLevel="0" collapsed="false">
      <c r="A138" s="14"/>
      <c r="B138" s="11"/>
      <c r="C138" s="11"/>
      <c r="D138" s="11"/>
      <c r="E138" s="11"/>
      <c r="F138" s="11"/>
      <c r="G138" s="11"/>
    </row>
    <row r="139" customFormat="false" ht="15" hidden="false" customHeight="false" outlineLevel="0" collapsed="false">
      <c r="A139" s="14"/>
      <c r="B139" s="11"/>
      <c r="C139" s="11"/>
      <c r="D139" s="11"/>
      <c r="E139" s="11"/>
      <c r="F139" s="11"/>
      <c r="G139" s="11"/>
    </row>
    <row r="140" customFormat="false" ht="15" hidden="false" customHeight="false" outlineLevel="0" collapsed="false">
      <c r="A140" s="14"/>
      <c r="B140" s="11"/>
      <c r="C140" s="11"/>
      <c r="D140" s="11"/>
      <c r="E140" s="11"/>
      <c r="F140" s="11"/>
      <c r="G140" s="11"/>
    </row>
    <row r="141" customFormat="false" ht="15" hidden="false" customHeight="false" outlineLevel="0" collapsed="false">
      <c r="A141" s="14"/>
      <c r="B141" s="11"/>
      <c r="C141" s="11"/>
      <c r="D141" s="11"/>
      <c r="E141" s="11"/>
      <c r="F141" s="11"/>
      <c r="G141" s="11"/>
    </row>
    <row r="142" customFormat="false" ht="15" hidden="false" customHeight="false" outlineLevel="0" collapsed="false">
      <c r="A142" s="14"/>
      <c r="B142" s="11"/>
      <c r="C142" s="11"/>
      <c r="D142" s="11"/>
      <c r="E142" s="11"/>
      <c r="F142" s="11"/>
      <c r="G142" s="11"/>
    </row>
    <row r="143" customFormat="false" ht="15" hidden="false" customHeight="false" outlineLevel="0" collapsed="false">
      <c r="A143" s="14"/>
      <c r="B143" s="11"/>
      <c r="C143" s="11"/>
      <c r="D143" s="11"/>
      <c r="E143" s="11"/>
      <c r="F143" s="11"/>
      <c r="G143" s="11"/>
    </row>
    <row r="144" customFormat="false" ht="15" hidden="false" customHeight="false" outlineLevel="0" collapsed="false">
      <c r="A144" s="14"/>
      <c r="B144" s="11"/>
      <c r="C144" s="11"/>
      <c r="D144" s="11"/>
      <c r="E144" s="11"/>
      <c r="F144" s="11"/>
      <c r="G144" s="11"/>
    </row>
    <row r="145" customFormat="false" ht="15" hidden="false" customHeight="false" outlineLevel="0" collapsed="false">
      <c r="A145" s="14"/>
      <c r="B145" s="11"/>
      <c r="C145" s="11"/>
      <c r="D145" s="11"/>
      <c r="E145" s="11"/>
      <c r="F145" s="11"/>
      <c r="G145" s="11"/>
    </row>
    <row r="146" customFormat="false" ht="15" hidden="false" customHeight="false" outlineLevel="0" collapsed="false">
      <c r="A146" s="14"/>
      <c r="B146" s="11"/>
      <c r="C146" s="11"/>
      <c r="D146" s="11"/>
      <c r="E146" s="11"/>
      <c r="F146" s="11"/>
      <c r="G146" s="11"/>
    </row>
    <row r="147" customFormat="false" ht="15" hidden="false" customHeight="false" outlineLevel="0" collapsed="false">
      <c r="A147" s="14"/>
      <c r="B147" s="11"/>
      <c r="C147" s="11"/>
      <c r="D147" s="11"/>
      <c r="E147" s="11"/>
      <c r="F147" s="11"/>
      <c r="G147" s="11"/>
    </row>
    <row r="148" customFormat="false" ht="15" hidden="false" customHeight="false" outlineLevel="0" collapsed="false">
      <c r="A148" s="14"/>
      <c r="B148" s="11"/>
      <c r="C148" s="11"/>
      <c r="D148" s="11"/>
      <c r="E148" s="11"/>
      <c r="F148" s="11"/>
      <c r="G148" s="11"/>
    </row>
    <row r="149" customFormat="false" ht="15" hidden="false" customHeight="false" outlineLevel="0" collapsed="false">
      <c r="A149" s="14"/>
      <c r="B149" s="11"/>
      <c r="C149" s="11"/>
      <c r="D149" s="11"/>
      <c r="E149" s="11"/>
      <c r="F149" s="11"/>
      <c r="G149" s="11"/>
    </row>
    <row r="150" customFormat="false" ht="15" hidden="false" customHeight="false" outlineLevel="0" collapsed="false">
      <c r="A150" s="14"/>
      <c r="B150" s="11"/>
      <c r="C150" s="11"/>
      <c r="D150" s="11"/>
      <c r="E150" s="11"/>
      <c r="F150" s="11"/>
      <c r="G150" s="11"/>
    </row>
    <row r="151" customFormat="false" ht="15" hidden="false" customHeight="false" outlineLevel="0" collapsed="false">
      <c r="A151" s="14"/>
      <c r="B151" s="11"/>
      <c r="C151" s="11"/>
      <c r="D151" s="11"/>
      <c r="E151" s="11"/>
      <c r="F151" s="11"/>
      <c r="G151" s="11"/>
    </row>
    <row r="152" customFormat="false" ht="15" hidden="false" customHeight="false" outlineLevel="0" collapsed="false">
      <c r="A152" s="14"/>
      <c r="B152" s="11"/>
      <c r="C152" s="11"/>
      <c r="D152" s="11"/>
      <c r="E152" s="11"/>
      <c r="F152" s="11"/>
      <c r="G152" s="11"/>
    </row>
    <row r="153" customFormat="false" ht="15" hidden="false" customHeight="false" outlineLevel="0" collapsed="false">
      <c r="A153" s="14"/>
      <c r="B153" s="11"/>
      <c r="C153" s="11"/>
      <c r="D153" s="11"/>
      <c r="E153" s="11"/>
      <c r="F153" s="11"/>
      <c r="G153" s="11"/>
    </row>
    <row r="154" customFormat="false" ht="15" hidden="false" customHeight="false" outlineLevel="0" collapsed="false">
      <c r="A154" s="14"/>
      <c r="B154" s="11"/>
      <c r="C154" s="11"/>
      <c r="D154" s="11"/>
      <c r="E154" s="11"/>
      <c r="F154" s="11"/>
      <c r="G154" s="11"/>
    </row>
    <row r="155" customFormat="false" ht="15" hidden="false" customHeight="false" outlineLevel="0" collapsed="false">
      <c r="A155" s="14"/>
      <c r="B155" s="11"/>
      <c r="C155" s="11"/>
      <c r="D155" s="11"/>
      <c r="E155" s="11"/>
      <c r="F155" s="11"/>
      <c r="G155" s="11"/>
    </row>
    <row r="156" customFormat="false" ht="15" hidden="false" customHeight="false" outlineLevel="0" collapsed="false">
      <c r="A156" s="14"/>
      <c r="B156" s="11"/>
      <c r="C156" s="11"/>
      <c r="D156" s="11"/>
      <c r="E156" s="11"/>
      <c r="F156" s="11"/>
      <c r="G156" s="11"/>
    </row>
    <row r="157" customFormat="false" ht="15" hidden="false" customHeight="false" outlineLevel="0" collapsed="false">
      <c r="A157" s="14"/>
      <c r="B157" s="11"/>
      <c r="C157" s="11"/>
      <c r="D157" s="11"/>
      <c r="E157" s="11"/>
      <c r="F157" s="11"/>
      <c r="G157" s="11"/>
    </row>
    <row r="158" customFormat="false" ht="15" hidden="false" customHeight="false" outlineLevel="0" collapsed="false">
      <c r="A158" s="14"/>
      <c r="B158" s="11"/>
      <c r="C158" s="11"/>
      <c r="D158" s="11"/>
      <c r="E158" s="11"/>
      <c r="F158" s="11"/>
      <c r="G158" s="11"/>
    </row>
    <row r="159" customFormat="false" ht="15" hidden="false" customHeight="false" outlineLevel="0" collapsed="false">
      <c r="A159" s="14"/>
      <c r="B159" s="11"/>
      <c r="C159" s="11"/>
      <c r="D159" s="11"/>
      <c r="E159" s="11"/>
      <c r="F159" s="11"/>
      <c r="G159" s="11"/>
    </row>
    <row r="160" customFormat="false" ht="15" hidden="false" customHeight="false" outlineLevel="0" collapsed="false">
      <c r="A160" s="14"/>
      <c r="B160" s="11"/>
      <c r="C160" s="11"/>
      <c r="D160" s="11"/>
      <c r="E160" s="11"/>
      <c r="F160" s="11"/>
      <c r="G160" s="11"/>
    </row>
    <row r="161" customFormat="false" ht="15" hidden="false" customHeight="false" outlineLevel="0" collapsed="false">
      <c r="A161" s="14"/>
      <c r="B161" s="11"/>
      <c r="C161" s="11"/>
      <c r="D161" s="11"/>
      <c r="E161" s="11"/>
      <c r="F161" s="11"/>
      <c r="G161" s="11"/>
    </row>
    <row r="162" customFormat="false" ht="15" hidden="false" customHeight="false" outlineLevel="0" collapsed="false">
      <c r="A162" s="14"/>
      <c r="B162" s="11"/>
      <c r="C162" s="11"/>
      <c r="D162" s="11"/>
      <c r="E162" s="11"/>
      <c r="F162" s="11"/>
      <c r="G162" s="11"/>
    </row>
    <row r="163" customFormat="false" ht="15" hidden="false" customHeight="false" outlineLevel="0" collapsed="false">
      <c r="A163" s="14"/>
      <c r="B163" s="11"/>
      <c r="C163" s="11"/>
      <c r="D163" s="11"/>
      <c r="E163" s="11"/>
      <c r="F163" s="11"/>
      <c r="G163" s="11"/>
    </row>
    <row r="164" customFormat="false" ht="15" hidden="false" customHeight="false" outlineLevel="0" collapsed="false">
      <c r="A164" s="14"/>
      <c r="B164" s="11"/>
      <c r="C164" s="11"/>
      <c r="D164" s="11"/>
      <c r="E164" s="11"/>
      <c r="F164" s="11"/>
      <c r="G164" s="11"/>
    </row>
    <row r="165" customFormat="false" ht="15" hidden="false" customHeight="false" outlineLevel="0" collapsed="false">
      <c r="A165" s="14"/>
      <c r="B165" s="11"/>
      <c r="C165" s="11"/>
      <c r="D165" s="11"/>
      <c r="E165" s="11"/>
      <c r="F165" s="11"/>
      <c r="G165" s="11"/>
    </row>
    <row r="166" customFormat="false" ht="15" hidden="false" customHeight="false" outlineLevel="0" collapsed="false">
      <c r="A166" s="14"/>
      <c r="B166" s="11"/>
      <c r="C166" s="11"/>
      <c r="D166" s="11"/>
      <c r="E166" s="11"/>
      <c r="F166" s="11"/>
      <c r="G166" s="11"/>
    </row>
    <row r="167" customFormat="false" ht="15" hidden="false" customHeight="false" outlineLevel="0" collapsed="false">
      <c r="A167" s="14"/>
      <c r="B167" s="11"/>
      <c r="C167" s="11"/>
      <c r="D167" s="11"/>
      <c r="E167" s="11"/>
      <c r="F167" s="11"/>
      <c r="G167" s="11"/>
    </row>
    <row r="168" customFormat="false" ht="15" hidden="false" customHeight="false" outlineLevel="0" collapsed="false">
      <c r="A168" s="14"/>
      <c r="B168" s="11"/>
      <c r="C168" s="11"/>
      <c r="D168" s="11"/>
      <c r="E168" s="11"/>
      <c r="F168" s="11"/>
      <c r="G168" s="11"/>
    </row>
    <row r="169" customFormat="false" ht="15" hidden="false" customHeight="false" outlineLevel="0" collapsed="false">
      <c r="A169" s="14"/>
      <c r="B169" s="11"/>
      <c r="C169" s="11"/>
      <c r="D169" s="11"/>
      <c r="E169" s="11"/>
      <c r="F169" s="11"/>
      <c r="G169" s="11"/>
    </row>
    <row r="170" customFormat="false" ht="15" hidden="false" customHeight="false" outlineLevel="0" collapsed="false">
      <c r="A170" s="14"/>
      <c r="B170" s="11"/>
      <c r="C170" s="11"/>
      <c r="D170" s="11"/>
      <c r="E170" s="11"/>
      <c r="F170" s="11"/>
      <c r="G170" s="11"/>
    </row>
    <row r="171" customFormat="false" ht="15" hidden="false" customHeight="false" outlineLevel="0" collapsed="false">
      <c r="A171" s="14"/>
      <c r="B171" s="11"/>
      <c r="C171" s="11"/>
      <c r="D171" s="11"/>
      <c r="E171" s="11"/>
      <c r="F171" s="11"/>
      <c r="G171" s="11"/>
    </row>
    <row r="172" customFormat="false" ht="15" hidden="false" customHeight="false" outlineLevel="0" collapsed="false">
      <c r="A172" s="14"/>
      <c r="B172" s="11"/>
      <c r="C172" s="11"/>
      <c r="D172" s="11"/>
      <c r="E172" s="11"/>
      <c r="F172" s="11"/>
      <c r="G172" s="11"/>
    </row>
    <row r="173" customFormat="false" ht="15" hidden="false" customHeight="false" outlineLevel="0" collapsed="false">
      <c r="A173" s="14"/>
      <c r="B173" s="11"/>
      <c r="C173" s="11"/>
      <c r="D173" s="11"/>
      <c r="E173" s="11"/>
      <c r="F173" s="11"/>
      <c r="G173" s="11"/>
    </row>
    <row r="174" customFormat="false" ht="15" hidden="false" customHeight="false" outlineLevel="0" collapsed="false">
      <c r="A174" s="14"/>
      <c r="B174" s="11"/>
      <c r="C174" s="11"/>
      <c r="D174" s="11"/>
      <c r="E174" s="11"/>
      <c r="F174" s="11"/>
      <c r="G174" s="11"/>
    </row>
    <row r="175" customFormat="false" ht="15" hidden="false" customHeight="false" outlineLevel="0" collapsed="false">
      <c r="A175" s="14"/>
      <c r="B175" s="11"/>
      <c r="C175" s="11"/>
      <c r="D175" s="11"/>
      <c r="E175" s="11"/>
      <c r="F175" s="11"/>
      <c r="G175" s="11"/>
    </row>
    <row r="176" customFormat="false" ht="15" hidden="false" customHeight="false" outlineLevel="0" collapsed="false">
      <c r="A176" s="14"/>
      <c r="B176" s="11"/>
      <c r="C176" s="11"/>
      <c r="D176" s="11"/>
      <c r="E176" s="11"/>
      <c r="F176" s="11"/>
      <c r="G176" s="11"/>
    </row>
    <row r="177" customFormat="false" ht="15" hidden="false" customHeight="false" outlineLevel="0" collapsed="false">
      <c r="A177" s="14"/>
      <c r="B177" s="11"/>
      <c r="C177" s="11"/>
      <c r="D177" s="11"/>
      <c r="E177" s="11"/>
      <c r="F177" s="11"/>
      <c r="G177" s="11"/>
    </row>
    <row r="178" customFormat="false" ht="15" hidden="false" customHeight="false" outlineLevel="0" collapsed="false">
      <c r="A178" s="14"/>
      <c r="B178" s="11"/>
      <c r="C178" s="11"/>
      <c r="D178" s="11"/>
      <c r="E178" s="11"/>
      <c r="F178" s="11"/>
      <c r="G178" s="11"/>
    </row>
    <row r="179" customFormat="false" ht="15" hidden="false" customHeight="false" outlineLevel="0" collapsed="false">
      <c r="A179" s="14"/>
      <c r="B179" s="11"/>
      <c r="C179" s="11"/>
      <c r="D179" s="11"/>
      <c r="E179" s="11"/>
      <c r="F179" s="11"/>
      <c r="G179" s="11"/>
    </row>
    <row r="180" customFormat="false" ht="15" hidden="false" customHeight="false" outlineLevel="0" collapsed="false">
      <c r="A180" s="14"/>
      <c r="B180" s="11"/>
      <c r="C180" s="11"/>
      <c r="D180" s="11"/>
      <c r="E180" s="11"/>
      <c r="F180" s="11"/>
      <c r="G180" s="11"/>
    </row>
    <row r="181" customFormat="false" ht="15" hidden="false" customHeight="false" outlineLevel="0" collapsed="false">
      <c r="A181" s="14"/>
      <c r="B181" s="11"/>
      <c r="C181" s="11"/>
      <c r="D181" s="11"/>
      <c r="E181" s="11"/>
      <c r="F181" s="11"/>
      <c r="G181" s="11"/>
    </row>
    <row r="182" customFormat="false" ht="15" hidden="false" customHeight="false" outlineLevel="0" collapsed="false">
      <c r="A182" s="14"/>
      <c r="B182" s="11"/>
      <c r="C182" s="11"/>
      <c r="D182" s="11"/>
      <c r="E182" s="11"/>
      <c r="F182" s="11"/>
      <c r="G182" s="11"/>
    </row>
    <row r="183" customFormat="false" ht="15" hidden="false" customHeight="false" outlineLevel="0" collapsed="false">
      <c r="A183" s="14"/>
      <c r="B183" s="11"/>
      <c r="C183" s="11"/>
      <c r="D183" s="11"/>
      <c r="E183" s="11"/>
      <c r="F183" s="11"/>
      <c r="G183" s="11"/>
    </row>
    <row r="184" customFormat="false" ht="15" hidden="false" customHeight="false" outlineLevel="0" collapsed="false">
      <c r="A184" s="14"/>
      <c r="B184" s="11"/>
      <c r="C184" s="11"/>
      <c r="D184" s="11"/>
      <c r="E184" s="11"/>
      <c r="F184" s="11"/>
      <c r="G184" s="11"/>
    </row>
    <row r="185" customFormat="false" ht="15" hidden="false" customHeight="false" outlineLevel="0" collapsed="false">
      <c r="A185" s="14"/>
      <c r="B185" s="11"/>
      <c r="C185" s="11"/>
      <c r="D185" s="11"/>
      <c r="E185" s="11"/>
      <c r="F185" s="11"/>
      <c r="G185" s="11"/>
    </row>
    <row r="186" customFormat="false" ht="15" hidden="false" customHeight="false" outlineLevel="0" collapsed="false">
      <c r="A186" s="14"/>
      <c r="B186" s="11"/>
      <c r="C186" s="11"/>
      <c r="D186" s="11"/>
      <c r="E186" s="11"/>
      <c r="F186" s="11"/>
      <c r="G186" s="11"/>
    </row>
    <row r="187" customFormat="false" ht="15" hidden="false" customHeight="false" outlineLevel="0" collapsed="false">
      <c r="A187" s="14"/>
      <c r="B187" s="11"/>
      <c r="C187" s="11"/>
      <c r="D187" s="11"/>
      <c r="E187" s="11"/>
      <c r="F187" s="11"/>
      <c r="G187" s="11"/>
    </row>
    <row r="188" customFormat="false" ht="15" hidden="false" customHeight="false" outlineLevel="0" collapsed="false">
      <c r="A188" s="14"/>
      <c r="B188" s="11"/>
      <c r="C188" s="11"/>
      <c r="D188" s="11"/>
      <c r="E188" s="11"/>
      <c r="F188" s="11"/>
      <c r="G188" s="11"/>
    </row>
    <row r="189" customFormat="false" ht="15" hidden="false" customHeight="false" outlineLevel="0" collapsed="false">
      <c r="A189" s="14"/>
      <c r="B189" s="11"/>
      <c r="C189" s="11"/>
      <c r="D189" s="11"/>
      <c r="E189" s="11"/>
      <c r="F189" s="11"/>
      <c r="G189" s="11"/>
    </row>
    <row r="190" customFormat="false" ht="15" hidden="false" customHeight="false" outlineLevel="0" collapsed="false">
      <c r="A190" s="14"/>
      <c r="B190" s="11"/>
      <c r="C190" s="11"/>
      <c r="D190" s="11"/>
      <c r="E190" s="11"/>
      <c r="F190" s="11"/>
      <c r="G190" s="11"/>
    </row>
    <row r="191" customFormat="false" ht="15" hidden="false" customHeight="false" outlineLevel="0" collapsed="false">
      <c r="A191" s="14"/>
      <c r="B191" s="11"/>
      <c r="C191" s="11"/>
      <c r="D191" s="11"/>
      <c r="E191" s="11"/>
      <c r="F191" s="11"/>
      <c r="G191" s="11"/>
    </row>
    <row r="192" customFormat="false" ht="15" hidden="false" customHeight="false" outlineLevel="0" collapsed="false">
      <c r="A192" s="14"/>
      <c r="B192" s="11"/>
      <c r="C192" s="11"/>
      <c r="D192" s="11"/>
      <c r="E192" s="11"/>
      <c r="F192" s="11"/>
      <c r="G192" s="11"/>
    </row>
    <row r="193" customFormat="false" ht="15" hidden="false" customHeight="false" outlineLevel="0" collapsed="false">
      <c r="A193" s="14"/>
      <c r="B193" s="11"/>
      <c r="C193" s="11"/>
      <c r="D193" s="11"/>
      <c r="E193" s="11"/>
      <c r="F193" s="11"/>
      <c r="G193" s="11"/>
    </row>
    <row r="194" customFormat="false" ht="15" hidden="false" customHeight="false" outlineLevel="0" collapsed="false">
      <c r="A194" s="14"/>
      <c r="B194" s="11"/>
      <c r="C194" s="11"/>
      <c r="D194" s="11"/>
      <c r="E194" s="11"/>
      <c r="F194" s="11"/>
      <c r="G194" s="11"/>
    </row>
    <row r="195" customFormat="false" ht="15" hidden="false" customHeight="false" outlineLevel="0" collapsed="false">
      <c r="A195" s="14"/>
      <c r="B195" s="11"/>
      <c r="C195" s="11"/>
      <c r="D195" s="11"/>
      <c r="E195" s="11"/>
      <c r="F195" s="11"/>
      <c r="G195" s="11"/>
    </row>
    <row r="196" customFormat="false" ht="15" hidden="false" customHeight="false" outlineLevel="0" collapsed="false">
      <c r="A196" s="14"/>
      <c r="B196" s="11"/>
      <c r="C196" s="11"/>
      <c r="D196" s="11"/>
      <c r="E196" s="11"/>
      <c r="F196" s="11"/>
      <c r="G196" s="11"/>
    </row>
    <row r="197" customFormat="false" ht="15" hidden="false" customHeight="false" outlineLevel="0" collapsed="false">
      <c r="A197" s="14"/>
      <c r="B197" s="11"/>
      <c r="C197" s="11"/>
      <c r="D197" s="11"/>
      <c r="E197" s="11"/>
      <c r="F197" s="11"/>
      <c r="G197" s="11"/>
    </row>
    <row r="198" customFormat="false" ht="15" hidden="false" customHeight="false" outlineLevel="0" collapsed="false">
      <c r="A198" s="14"/>
      <c r="B198" s="11"/>
      <c r="C198" s="11"/>
      <c r="D198" s="11"/>
      <c r="E198" s="11"/>
      <c r="F198" s="11"/>
      <c r="G198" s="11"/>
    </row>
    <row r="199" customFormat="false" ht="15" hidden="false" customHeight="false" outlineLevel="0" collapsed="false">
      <c r="A199" s="14"/>
      <c r="B199" s="11"/>
      <c r="C199" s="11"/>
      <c r="D199" s="11"/>
      <c r="E199" s="11"/>
      <c r="F199" s="11"/>
      <c r="G199" s="11"/>
    </row>
    <row r="200" customFormat="false" ht="15" hidden="false" customHeight="false" outlineLevel="0" collapsed="false">
      <c r="A200" s="14"/>
      <c r="B200" s="11"/>
      <c r="C200" s="11"/>
      <c r="D200" s="11"/>
      <c r="E200" s="11"/>
      <c r="F200" s="11"/>
      <c r="G200" s="11"/>
    </row>
    <row r="201" customFormat="false" ht="15" hidden="false" customHeight="false" outlineLevel="0" collapsed="false">
      <c r="A201" s="14"/>
      <c r="B201" s="11"/>
      <c r="C201" s="11"/>
      <c r="D201" s="11"/>
      <c r="E201" s="11"/>
      <c r="F201" s="11"/>
      <c r="G201" s="11"/>
    </row>
  </sheetData>
  <conditionalFormatting sqref="D2:D201">
    <cfRule type="expression" priority="2" aboveAverage="0" equalAverage="0" bottom="0" percent="0" rank="0" text="" dxfId="0">
      <formula>D2="Approved"</formula>
    </cfRule>
    <cfRule type="expression" priority="3" aboveAverage="0" equalAverage="0" bottom="0" percent="0" rank="0" text="" dxfId="1">
      <formula>D2="Not approved"</formula>
    </cfRule>
  </conditionalFormatting>
  <dataValidations count="2">
    <dataValidation allowBlank="true" errorStyle="stop" operator="between" showDropDown="false" showErrorMessage="false" showInputMessage="false" sqref="D2:D201" type="list">
      <formula1>"Approved,Not approved"</formula1>
      <formula2>0</formula2>
    </dataValidation>
    <dataValidation allowBlank="true" error="Not in the Register." errorStyle="information" operator="between" showDropDown="false" showErrorMessage="false" showInputMessage="false" sqref="B2:B201" type="list">
      <formula1>Register!$A$2:$A$101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72"/>
  </cols>
  <sheetData>
    <row r="1" customFormat="false" ht="16.15" hidden="false" customHeight="false" outlineLevel="0" collapsed="false">
      <c r="A1" s="8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3" t="s">
        <v>29</v>
      </c>
      <c r="B4" s="3" t="s">
        <v>112</v>
      </c>
      <c r="C4" s="3" t="s">
        <v>113</v>
      </c>
    </row>
    <row r="5" customFormat="false" ht="23.85" hidden="false" customHeight="false" outlineLevel="0" collapsed="false">
      <c r="A5" s="9" t="n">
        <v>1</v>
      </c>
      <c r="B5" s="9" t="s">
        <v>114</v>
      </c>
      <c r="C5" s="9" t="s">
        <v>115</v>
      </c>
    </row>
    <row r="6" customFormat="false" ht="23.85" hidden="false" customHeight="false" outlineLevel="0" collapsed="false">
      <c r="A6" s="9" t="n">
        <v>2</v>
      </c>
      <c r="B6" s="9" t="s">
        <v>116</v>
      </c>
      <c r="C6" s="9" t="s">
        <v>117</v>
      </c>
    </row>
    <row r="7" customFormat="false" ht="23.85" hidden="false" customHeight="false" outlineLevel="0" collapsed="false">
      <c r="A7" s="9" t="n">
        <v>3</v>
      </c>
      <c r="B7" s="9" t="s">
        <v>118</v>
      </c>
      <c r="C7" s="9" t="s">
        <v>119</v>
      </c>
    </row>
    <row r="8" customFormat="false" ht="15" hidden="false" customHeight="false" outlineLevel="0" collapsed="false">
      <c r="A8" s="9" t="n">
        <v>4</v>
      </c>
      <c r="B8" s="9" t="s">
        <v>120</v>
      </c>
      <c r="C8" s="9" t="s">
        <v>121</v>
      </c>
    </row>
    <row r="9" customFormat="false" ht="15" hidden="false" customHeight="false" outlineLevel="0" collapsed="false">
      <c r="A9" s="9" t="n">
        <v>5</v>
      </c>
      <c r="B9" s="9" t="s">
        <v>122</v>
      </c>
      <c r="C9" s="9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15" t="s">
        <v>124</v>
      </c>
    </row>
    <row r="2" customFormat="false" ht="15" hidden="false" customHeight="false" outlineLevel="0" collapsed="false">
      <c r="A2" s="16" t="s">
        <v>94</v>
      </c>
    </row>
    <row r="3" customFormat="false" ht="15" hidden="false" customHeight="false" outlineLevel="0" collapsed="false">
      <c r="A3" s="16" t="s">
        <v>125</v>
      </c>
    </row>
    <row r="4" customFormat="false" ht="15" hidden="false" customHeight="false" outlineLevel="0" collapsed="false">
      <c r="A4" s="16" t="s">
        <v>126</v>
      </c>
    </row>
    <row r="5" customFormat="false" ht="15" hidden="false" customHeight="false" outlineLevel="0" collapsed="false">
      <c r="A5" s="16" t="s">
        <v>80</v>
      </c>
    </row>
    <row r="6" customFormat="false" ht="15" hidden="false" customHeight="false" outlineLevel="0" collapsed="false">
      <c r="A6" s="16" t="s">
        <v>127</v>
      </c>
    </row>
    <row r="7" customFormat="false" ht="15" hidden="false" customHeight="false" outlineLevel="0" collapsed="false">
      <c r="A7" s="16" t="s">
        <v>128</v>
      </c>
    </row>
    <row r="8" customFormat="false" ht="15" hidden="false" customHeight="false" outlineLevel="0" collapsed="false">
      <c r="A8" s="16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2026-10-14T22:41:25Z</dcterms:created>
  <dc:creator>openpyxl</dc:creator>
  <dc:description/>
  <dc:language>en-US</dc:language>
  <cp:lastModifiedBy/>
  <dcterms:modified xsi:type="dcterms:W3CDTF">2026-10-14T22:41:26Z</dcterms:modified>
  <cp:revision>0</cp:revision>
  <dc:subject/>
  <dc:title>Kretz AI Tool Register (reference)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